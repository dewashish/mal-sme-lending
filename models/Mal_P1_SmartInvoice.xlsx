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Crucial X9/Antigravity/Mal SME/mal-sme-lending/models/"/>
    </mc:Choice>
  </mc:AlternateContent>
  <xr:revisionPtr revIDLastSave="0" documentId="13_ncr:1_{7E00F432-9A80-884F-8E21-7317CF2BF24F}" xr6:coauthVersionLast="47" xr6:coauthVersionMax="47" xr10:uidLastSave="{00000000-0000-0000-0000-000000000000}"/>
  <bookViews>
    <workbookView xWindow="68280" yWindow="600" windowWidth="34120" windowHeight="28200" xr2:uid="{00000000-000D-0000-FFFF-FFFF00000000}"/>
  </bookViews>
  <sheets>
    <sheet name="Guide" sheetId="1" r:id="rId1"/>
    <sheet name="Dashboard" sheetId="19" r:id="rId2"/>
    <sheet name="Inputs" sheetId="2" r:id="rId3"/>
    <sheet name="Volume &amp; Mix" sheetId="3" r:id="rId4"/>
    <sheet name="Disbursement Plan" sheetId="12" r:id="rId5"/>
    <sheet name="Risk" sheetId="13" r:id="rId6"/>
    <sheet name="Track A · Pay-30" sheetId="4" r:id="rId7"/>
    <sheet name="Track B · BNPL" sheetId="5" r:id="rId8"/>
    <sheet name="Track C · Extension" sheetId="6" r:id="rId9"/>
    <sheet name="Combined P&amp;L" sheetId="7" r:id="rId10"/>
    <sheet name="Unit Economics" sheetId="8" r:id="rId11"/>
    <sheet name="Sensitivity" sheetId="9" r:id="rId12"/>
    <sheet name="Capital Plan" sheetId="14" r:id="rId13"/>
    <sheet name="Funding Stack" sheetId="15" r:id="rId14"/>
    <sheet name="Scenarios" sheetId="16" r:id="rId15"/>
    <sheet name="Break-even" sheetId="17" r:id="rId16"/>
    <sheet name="Vintage Cohorts" sheetId="18" r:id="rId17"/>
    <sheet name="Validation &amp; Sources" sheetId="10" r:id="rId18"/>
  </sheets>
  <definedNames>
    <definedName name="advance_rate">Inputs!$B$22</definedName>
    <definedName name="avg_ticket_k">Inputs!$B$9</definedName>
    <definedName name="cof_apr">Scenarios!$B$9</definedName>
    <definedName name="disb_y1">Inputs!$B$6</definedName>
    <definedName name="disb_y2">Inputs!$B$7</definedName>
    <definedName name="disb_y3">Scenarios!$B$5</definedName>
    <definedName name="disb_y4">Inputs!$B$37</definedName>
    <definedName name="disb_y5">Inputs!$B$38</definedName>
    <definedName name="ead_bnpl">Risk!$C$7</definedName>
    <definedName name="ead_ext">Risk!$D$7</definedName>
    <definedName name="ead_pay30">Risk!$B$7</definedName>
    <definedName name="equity_pct">Inputs!$B$32</definedName>
    <definedName name="fee_bnpl_mo">Scenarios!$B$7</definedName>
    <definedName name="fee_ext_apr">Scenarios!$B$8</definedName>
    <definedName name="fee_pay30_mo">Scenarios!$B$6</definedName>
    <definedName name="lgd_bnpl">Risk!$C$6</definedName>
    <definedName name="lgd_ext">Risk!$D$6</definedName>
    <definedName name="lgd_pay30">Risk!$B$6</definedName>
    <definedName name="mix_bnpl">Inputs!$B$12</definedName>
    <definedName name="mix_ext">Inputs!$B$13</definedName>
    <definedName name="mix_pay30">Inputs!$B$11</definedName>
    <definedName name="opex_pct">Scenarios!$B$13</definedName>
    <definedName name="opex_y1_mult">Inputs!$B$34</definedName>
    <definedName name="opex_y2_mult">Inputs!$B$35</definedName>
    <definedName name="opex_y3_mult">Inputs!$B$36</definedName>
    <definedName name="opex_y4_mult">Inputs!$B$39</definedName>
    <definedName name="opex_y5_mult">Inputs!$B$40</definedName>
    <definedName name="pd_bnpl">Scenarios!$B$11</definedName>
    <definedName name="pd_ext">Scenarios!$B$12</definedName>
    <definedName name="pd_pay30">Scenarios!$B$10</definedName>
    <definedName name="tenor_bnpl">Inputs!$B$16</definedName>
    <definedName name="tenor_ext">Inputs!$B$17</definedName>
    <definedName name="tenor_pay30">Inputs!$B$15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9" l="1"/>
  <c r="F5" i="19"/>
  <c r="D5" i="19"/>
  <c r="F38" i="7"/>
  <c r="E38" i="7"/>
  <c r="D38" i="7"/>
  <c r="C38" i="7"/>
  <c r="B38" i="7"/>
  <c r="F37" i="7"/>
  <c r="E37" i="7"/>
  <c r="D37" i="7"/>
  <c r="C37" i="7"/>
  <c r="B37" i="7"/>
  <c r="F35" i="7"/>
  <c r="E35" i="7"/>
  <c r="D35" i="7"/>
  <c r="C35" i="7"/>
  <c r="B35" i="7"/>
  <c r="F33" i="7"/>
  <c r="E33" i="7"/>
  <c r="D33" i="7"/>
  <c r="C33" i="7"/>
  <c r="B33" i="7"/>
  <c r="F32" i="7"/>
  <c r="E32" i="7"/>
  <c r="D32" i="7"/>
  <c r="C32" i="7"/>
  <c r="B32" i="7"/>
  <c r="F30" i="7"/>
  <c r="E30" i="7"/>
  <c r="D30" i="7"/>
  <c r="C30" i="7"/>
  <c r="B30" i="7"/>
  <c r="F28" i="7"/>
  <c r="E28" i="7"/>
  <c r="D28" i="7"/>
  <c r="C28" i="7"/>
  <c r="B28" i="7"/>
  <c r="F26" i="7"/>
  <c r="E26" i="7"/>
  <c r="D26" i="7"/>
  <c r="C26" i="7"/>
  <c r="B26" i="7"/>
  <c r="B29" i="2"/>
  <c r="B28" i="2"/>
  <c r="D12" i="8"/>
  <c r="C12" i="8"/>
  <c r="B12" i="8"/>
  <c r="B37" i="19"/>
  <c r="B36" i="19"/>
  <c r="B35" i="19"/>
  <c r="B34" i="19"/>
  <c r="B33" i="19"/>
  <c r="B32" i="19"/>
  <c r="B31" i="19"/>
  <c r="I30" i="19"/>
  <c r="H30" i="19"/>
  <c r="G30" i="19"/>
  <c r="F30" i="19"/>
  <c r="E30" i="19"/>
  <c r="D30" i="19"/>
  <c r="C30" i="19"/>
  <c r="B30" i="19"/>
  <c r="F52" i="19"/>
  <c r="E52" i="19"/>
  <c r="D52" i="19"/>
  <c r="C52" i="19"/>
  <c r="B52" i="19"/>
  <c r="F46" i="19"/>
  <c r="E46" i="19"/>
  <c r="D46" i="19"/>
  <c r="C46" i="19"/>
  <c r="B46" i="19"/>
  <c r="F45" i="19"/>
  <c r="E45" i="19"/>
  <c r="D45" i="19"/>
  <c r="C45" i="19"/>
  <c r="B45" i="19"/>
  <c r="F44" i="19"/>
  <c r="E44" i="19"/>
  <c r="D44" i="19"/>
  <c r="C44" i="19"/>
  <c r="B44" i="19"/>
  <c r="B5" i="19"/>
  <c r="B21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C14" i="18"/>
  <c r="C13" i="18"/>
  <c r="B13" i="18"/>
  <c r="C12" i="18"/>
  <c r="B12" i="18"/>
  <c r="D11" i="18"/>
  <c r="C11" i="18"/>
  <c r="B11" i="18"/>
  <c r="B29" i="17"/>
  <c r="B19" i="17"/>
  <c r="D12" i="17"/>
  <c r="C12" i="17"/>
  <c r="B12" i="17"/>
  <c r="E12" i="17" s="1"/>
  <c r="B31" i="17" s="1"/>
  <c r="D11" i="17"/>
  <c r="B11" i="17"/>
  <c r="B8" i="17"/>
  <c r="F32" i="16"/>
  <c r="E32" i="16"/>
  <c r="D32" i="16"/>
  <c r="C32" i="16"/>
  <c r="B32" i="16"/>
  <c r="F29" i="16"/>
  <c r="E29" i="16"/>
  <c r="D29" i="16"/>
  <c r="C29" i="16"/>
  <c r="B29" i="16"/>
  <c r="F28" i="16"/>
  <c r="E28" i="16"/>
  <c r="D28" i="16"/>
  <c r="C28" i="16"/>
  <c r="B28" i="16" s="1"/>
  <c r="F26" i="16"/>
  <c r="E26" i="16"/>
  <c r="D26" i="16"/>
  <c r="C26" i="16"/>
  <c r="B26" i="16" s="1"/>
  <c r="C25" i="16"/>
  <c r="F23" i="16"/>
  <c r="E23" i="16"/>
  <c r="D23" i="16"/>
  <c r="C23" i="16"/>
  <c r="B23" i="16" s="1"/>
  <c r="F22" i="16"/>
  <c r="E22" i="16"/>
  <c r="D22" i="16"/>
  <c r="C22" i="16"/>
  <c r="B22" i="16" s="1"/>
  <c r="F21" i="16"/>
  <c r="E21" i="16"/>
  <c r="D21" i="16"/>
  <c r="C21" i="16"/>
  <c r="B21" i="16" s="1"/>
  <c r="F20" i="16"/>
  <c r="E20" i="16"/>
  <c r="D20" i="16"/>
  <c r="C20" i="16"/>
  <c r="B20" i="16" s="1"/>
  <c r="F19" i="16"/>
  <c r="E19" i="16"/>
  <c r="D19" i="16"/>
  <c r="C19" i="16"/>
  <c r="B19" i="16"/>
  <c r="F13" i="16"/>
  <c r="E13" i="16"/>
  <c r="D13" i="16"/>
  <c r="B13" i="16"/>
  <c r="F12" i="16"/>
  <c r="E12" i="16"/>
  <c r="D12" i="16"/>
  <c r="B12" i="16"/>
  <c r="F11" i="16"/>
  <c r="E11" i="16"/>
  <c r="D11" i="16"/>
  <c r="B11" i="16"/>
  <c r="F10" i="16"/>
  <c r="E10" i="16"/>
  <c r="D10" i="16"/>
  <c r="B10" i="16"/>
  <c r="F9" i="16"/>
  <c r="E9" i="16"/>
  <c r="D9" i="16"/>
  <c r="B9" i="16"/>
  <c r="F8" i="16"/>
  <c r="E8" i="16"/>
  <c r="D8" i="16"/>
  <c r="B8" i="16"/>
  <c r="F7" i="16"/>
  <c r="F25" i="16" s="1"/>
  <c r="F27" i="16" s="1"/>
  <c r="E7" i="16"/>
  <c r="E25" i="16" s="1"/>
  <c r="E27" i="16" s="1"/>
  <c r="E30" i="16" s="1"/>
  <c r="D7" i="16"/>
  <c r="D25" i="16" s="1"/>
  <c r="D27" i="16" s="1"/>
  <c r="D30" i="16" s="1"/>
  <c r="B7" i="16"/>
  <c r="F6" i="16"/>
  <c r="E6" i="16"/>
  <c r="D6" i="16"/>
  <c r="B6" i="16"/>
  <c r="F5" i="16"/>
  <c r="E5" i="16"/>
  <c r="D5" i="16"/>
  <c r="B5" i="16"/>
  <c r="C1" i="16"/>
  <c r="F23" i="15"/>
  <c r="E23" i="15"/>
  <c r="C23" i="15"/>
  <c r="B23" i="15"/>
  <c r="B22" i="15"/>
  <c r="F18" i="15"/>
  <c r="E18" i="15"/>
  <c r="C18" i="15"/>
  <c r="B18" i="15"/>
  <c r="F17" i="15"/>
  <c r="F22" i="15" s="1"/>
  <c r="E17" i="15"/>
  <c r="E22" i="15" s="1"/>
  <c r="C17" i="15"/>
  <c r="C22" i="15" s="1"/>
  <c r="B17" i="15"/>
  <c r="F16" i="15"/>
  <c r="E16" i="15"/>
  <c r="C16" i="15"/>
  <c r="B16" i="15"/>
  <c r="B11" i="15"/>
  <c r="B10" i="15"/>
  <c r="B7" i="15"/>
  <c r="E6" i="15"/>
  <c r="E5" i="15"/>
  <c r="F12" i="14"/>
  <c r="E12" i="14"/>
  <c r="D12" i="14"/>
  <c r="C12" i="14"/>
  <c r="B12" i="14"/>
  <c r="F9" i="14"/>
  <c r="E9" i="14"/>
  <c r="C9" i="14"/>
  <c r="B9" i="14"/>
  <c r="F7" i="14"/>
  <c r="E7" i="14"/>
  <c r="C7" i="14"/>
  <c r="B7" i="14"/>
  <c r="F6" i="14"/>
  <c r="E6" i="14"/>
  <c r="C6" i="14"/>
  <c r="B6" i="14"/>
  <c r="F15" i="6"/>
  <c r="E15" i="6"/>
  <c r="D15" i="6"/>
  <c r="C15" i="6"/>
  <c r="B15" i="6"/>
  <c r="F14" i="6"/>
  <c r="F16" i="6" s="1"/>
  <c r="F17" i="6" s="1"/>
  <c r="E14" i="6"/>
  <c r="E16" i="6" s="1"/>
  <c r="E17" i="6" s="1"/>
  <c r="D14" i="6"/>
  <c r="D16" i="6" s="1"/>
  <c r="C14" i="6"/>
  <c r="C16" i="6" s="1"/>
  <c r="B14" i="6"/>
  <c r="B16" i="6" s="1"/>
  <c r="F15" i="5"/>
  <c r="E15" i="5"/>
  <c r="D15" i="5"/>
  <c r="C15" i="5"/>
  <c r="B15" i="5"/>
  <c r="F14" i="5"/>
  <c r="F16" i="5" s="1"/>
  <c r="F17" i="5" s="1"/>
  <c r="E14" i="5"/>
  <c r="E16" i="5" s="1"/>
  <c r="E17" i="5" s="1"/>
  <c r="D14" i="5"/>
  <c r="D16" i="5" s="1"/>
  <c r="C14" i="5"/>
  <c r="C16" i="5" s="1"/>
  <c r="B14" i="5"/>
  <c r="B16" i="5" s="1"/>
  <c r="F15" i="4"/>
  <c r="E15" i="4"/>
  <c r="D15" i="4"/>
  <c r="C15" i="4"/>
  <c r="B15" i="4"/>
  <c r="F14" i="4"/>
  <c r="F16" i="4" s="1"/>
  <c r="F17" i="4" s="1"/>
  <c r="E14" i="4"/>
  <c r="E16" i="4" s="1"/>
  <c r="E17" i="4" s="1"/>
  <c r="D14" i="4"/>
  <c r="D16" i="4" s="1"/>
  <c r="C14" i="4"/>
  <c r="C16" i="4" s="1"/>
  <c r="B14" i="4"/>
  <c r="B16" i="4" s="1"/>
  <c r="D10" i="13"/>
  <c r="C10" i="13"/>
  <c r="B10" i="13"/>
  <c r="D9" i="13"/>
  <c r="C9" i="13"/>
  <c r="B9" i="13"/>
  <c r="B27" i="2" s="1"/>
  <c r="E5" i="13"/>
  <c r="C15" i="12"/>
  <c r="F15" i="12"/>
  <c r="E15" i="12"/>
  <c r="B15" i="12"/>
  <c r="F14" i="12"/>
  <c r="E14" i="12"/>
  <c r="C14" i="12"/>
  <c r="B14" i="12"/>
  <c r="F13" i="12"/>
  <c r="E13" i="12"/>
  <c r="C13" i="12"/>
  <c r="B13" i="12"/>
  <c r="G10" i="12"/>
  <c r="F10" i="12"/>
  <c r="E10" i="12"/>
  <c r="C10" i="12"/>
  <c r="B10" i="12"/>
  <c r="G8" i="12"/>
  <c r="F8" i="12"/>
  <c r="E8" i="12"/>
  <c r="C8" i="12"/>
  <c r="B8" i="12"/>
  <c r="F6" i="12"/>
  <c r="C6" i="12"/>
  <c r="G5" i="12"/>
  <c r="F5" i="12"/>
  <c r="E5" i="12"/>
  <c r="D5" i="12"/>
  <c r="C5" i="12"/>
  <c r="B5" i="12"/>
  <c r="F5" i="7"/>
  <c r="E5" i="7"/>
  <c r="F27" i="6"/>
  <c r="F21" i="6"/>
  <c r="F22" i="6" s="1"/>
  <c r="F9" i="6"/>
  <c r="F10" i="6" s="1"/>
  <c r="F6" i="6"/>
  <c r="F7" i="6" s="1"/>
  <c r="F5" i="6"/>
  <c r="E27" i="6"/>
  <c r="E21" i="6"/>
  <c r="E22" i="6" s="1"/>
  <c r="E9" i="6"/>
  <c r="E10" i="6" s="1"/>
  <c r="E12" i="6" s="1"/>
  <c r="E6" i="6"/>
  <c r="E7" i="6" s="1"/>
  <c r="E5" i="6"/>
  <c r="F27" i="5"/>
  <c r="F21" i="5"/>
  <c r="F22" i="5" s="1"/>
  <c r="F9" i="5"/>
  <c r="F10" i="5" s="1"/>
  <c r="F5" i="5"/>
  <c r="E27" i="5"/>
  <c r="E21" i="5"/>
  <c r="E22" i="5" s="1"/>
  <c r="E9" i="5"/>
  <c r="E10" i="5" s="1"/>
  <c r="E5" i="5"/>
  <c r="F27" i="4"/>
  <c r="F13" i="7" s="1"/>
  <c r="J5" i="19" s="1"/>
  <c r="F22" i="4"/>
  <c r="F11" i="7" s="1"/>
  <c r="F18" i="7" s="1"/>
  <c r="F21" i="4"/>
  <c r="F9" i="4"/>
  <c r="F10" i="4" s="1"/>
  <c r="F6" i="4"/>
  <c r="F7" i="4" s="1"/>
  <c r="F5" i="4"/>
  <c r="E27" i="4"/>
  <c r="E13" i="7" s="1"/>
  <c r="E22" i="4"/>
  <c r="E11" i="7" s="1"/>
  <c r="E18" i="7" s="1"/>
  <c r="E21" i="4"/>
  <c r="E9" i="4"/>
  <c r="E10" i="4" s="1"/>
  <c r="E7" i="7" s="1"/>
  <c r="E6" i="4"/>
  <c r="E7" i="4" s="1"/>
  <c r="E5" i="4"/>
  <c r="F13" i="3"/>
  <c r="E13" i="3"/>
  <c r="F11" i="3"/>
  <c r="E11" i="3"/>
  <c r="F10" i="3"/>
  <c r="E10" i="3"/>
  <c r="F9" i="3"/>
  <c r="E9" i="3"/>
  <c r="F6" i="3"/>
  <c r="E6" i="3"/>
  <c r="F5" i="3"/>
  <c r="E5" i="3"/>
  <c r="B22" i="1"/>
  <c r="D8" i="8"/>
  <c r="B8" i="8"/>
  <c r="D7" i="8"/>
  <c r="C7" i="8"/>
  <c r="B7" i="8"/>
  <c r="D5" i="8"/>
  <c r="C5" i="8"/>
  <c r="B5" i="8"/>
  <c r="D21" i="6"/>
  <c r="C21" i="6"/>
  <c r="B21" i="6"/>
  <c r="D9" i="6"/>
  <c r="C9" i="6"/>
  <c r="B9" i="6"/>
  <c r="D6" i="6"/>
  <c r="C6" i="6"/>
  <c r="B6" i="6"/>
  <c r="D21" i="5"/>
  <c r="C21" i="5"/>
  <c r="B21" i="5"/>
  <c r="D9" i="5"/>
  <c r="C9" i="5"/>
  <c r="B9" i="5"/>
  <c r="D21" i="4"/>
  <c r="C21" i="4"/>
  <c r="B21" i="4"/>
  <c r="D9" i="4"/>
  <c r="C9" i="4"/>
  <c r="B9" i="4"/>
  <c r="D6" i="4"/>
  <c r="C6" i="4"/>
  <c r="B6" i="4"/>
  <c r="C13" i="3"/>
  <c r="B13" i="3"/>
  <c r="D11" i="3"/>
  <c r="C11" i="3"/>
  <c r="C5" i="6" s="1"/>
  <c r="B11" i="3"/>
  <c r="B5" i="6" s="1"/>
  <c r="D10" i="3"/>
  <c r="C10" i="3"/>
  <c r="C5" i="5" s="1"/>
  <c r="B10" i="3"/>
  <c r="B5" i="5" s="1"/>
  <c r="D9" i="3"/>
  <c r="D13" i="3" s="1"/>
  <c r="D10" i="12" s="1"/>
  <c r="C9" i="3"/>
  <c r="C5" i="4" s="1"/>
  <c r="B9" i="3"/>
  <c r="B5" i="4" s="1"/>
  <c r="D6" i="3"/>
  <c r="C6" i="3"/>
  <c r="B6" i="3"/>
  <c r="D5" i="3"/>
  <c r="C5" i="3"/>
  <c r="B5" i="3"/>
  <c r="F30" i="16" l="1"/>
  <c r="E11" i="18"/>
  <c r="B22" i="18"/>
  <c r="D22" i="18"/>
  <c r="E22" i="18"/>
  <c r="L22" i="18"/>
  <c r="M22" i="18"/>
  <c r="N22" i="18"/>
  <c r="O22" i="18"/>
  <c r="P22" i="18"/>
  <c r="S22" i="18"/>
  <c r="T22" i="18"/>
  <c r="V22" i="18"/>
  <c r="W22" i="18"/>
  <c r="X22" i="18"/>
  <c r="D12" i="18"/>
  <c r="C22" i="18"/>
  <c r="F22" i="18"/>
  <c r="G22" i="18"/>
  <c r="H22" i="18"/>
  <c r="I22" i="18"/>
  <c r="J22" i="18"/>
  <c r="K22" i="18"/>
  <c r="Q22" i="18"/>
  <c r="R22" i="18"/>
  <c r="U22" i="18"/>
  <c r="Y22" i="18"/>
  <c r="Z22" i="18"/>
  <c r="D13" i="18"/>
  <c r="F19" i="15"/>
  <c r="E19" i="15"/>
  <c r="C19" i="15"/>
  <c r="B19" i="15"/>
  <c r="B8" i="15"/>
  <c r="C27" i="16"/>
  <c r="B25" i="16"/>
  <c r="H11" i="9"/>
  <c r="I37" i="19" s="1"/>
  <c r="B6" i="5"/>
  <c r="B7" i="5" s="1"/>
  <c r="B11" i="9"/>
  <c r="C37" i="19" s="1"/>
  <c r="H10" i="9"/>
  <c r="I36" i="19" s="1"/>
  <c r="G10" i="9"/>
  <c r="H36" i="19" s="1"/>
  <c r="F10" i="9"/>
  <c r="G36" i="19" s="1"/>
  <c r="E10" i="9"/>
  <c r="F36" i="19" s="1"/>
  <c r="D10" i="9"/>
  <c r="E36" i="19" s="1"/>
  <c r="C10" i="9"/>
  <c r="D36" i="19" s="1"/>
  <c r="B10" i="9"/>
  <c r="C36" i="19" s="1"/>
  <c r="H9" i="9"/>
  <c r="I35" i="19" s="1"/>
  <c r="G9" i="9"/>
  <c r="H35" i="19" s="1"/>
  <c r="F9" i="9"/>
  <c r="G35" i="19" s="1"/>
  <c r="E9" i="9"/>
  <c r="F35" i="19" s="1"/>
  <c r="D9" i="9"/>
  <c r="E35" i="19" s="1"/>
  <c r="C9" i="9"/>
  <c r="D35" i="19" s="1"/>
  <c r="B9" i="9"/>
  <c r="C35" i="19" s="1"/>
  <c r="H8" i="9"/>
  <c r="I34" i="19" s="1"/>
  <c r="G8" i="9"/>
  <c r="H34" i="19" s="1"/>
  <c r="F8" i="9"/>
  <c r="G34" i="19" s="1"/>
  <c r="E8" i="9"/>
  <c r="F34" i="19" s="1"/>
  <c r="D8" i="9"/>
  <c r="E34" i="19" s="1"/>
  <c r="C8" i="9"/>
  <c r="D34" i="19" s="1"/>
  <c r="B8" i="9"/>
  <c r="C34" i="19" s="1"/>
  <c r="H7" i="9"/>
  <c r="I33" i="19" s="1"/>
  <c r="G7" i="9"/>
  <c r="H33" i="19" s="1"/>
  <c r="F7" i="9"/>
  <c r="G33" i="19" s="1"/>
  <c r="E7" i="9"/>
  <c r="F33" i="19" s="1"/>
  <c r="D7" i="9"/>
  <c r="E33" i="19" s="1"/>
  <c r="C7" i="9"/>
  <c r="D33" i="19" s="1"/>
  <c r="B7" i="9"/>
  <c r="C33" i="19" s="1"/>
  <c r="G6" i="9"/>
  <c r="H32" i="19" s="1"/>
  <c r="F6" i="9"/>
  <c r="G32" i="19" s="1"/>
  <c r="E6" i="9"/>
  <c r="F32" i="19" s="1"/>
  <c r="D6" i="9"/>
  <c r="E32" i="19" s="1"/>
  <c r="C6" i="9"/>
  <c r="D32" i="19" s="1"/>
  <c r="B6" i="9"/>
  <c r="C32" i="19" s="1"/>
  <c r="H5" i="9"/>
  <c r="I31" i="19" s="1"/>
  <c r="F5" i="9"/>
  <c r="G31" i="19" s="1"/>
  <c r="E5" i="9"/>
  <c r="F31" i="19" s="1"/>
  <c r="D5" i="9"/>
  <c r="E31" i="19" s="1"/>
  <c r="C5" i="9"/>
  <c r="D31" i="19" s="1"/>
  <c r="B5" i="9"/>
  <c r="C31" i="19" s="1"/>
  <c r="C11" i="17"/>
  <c r="E11" i="17" s="1"/>
  <c r="D11" i="9"/>
  <c r="E37" i="19" s="1"/>
  <c r="E11" i="9"/>
  <c r="F37" i="19" s="1"/>
  <c r="F11" i="9"/>
  <c r="G37" i="19" s="1"/>
  <c r="G11" i="9"/>
  <c r="H37" i="19" s="1"/>
  <c r="H6" i="9"/>
  <c r="I32" i="19" s="1"/>
  <c r="G5" i="9"/>
  <c r="H31" i="19" s="1"/>
  <c r="F6" i="5"/>
  <c r="F7" i="5" s="1"/>
  <c r="F12" i="5" s="1"/>
  <c r="E6" i="5"/>
  <c r="E7" i="5" s="1"/>
  <c r="E12" i="5" s="1"/>
  <c r="C8" i="8"/>
  <c r="D6" i="5"/>
  <c r="C6" i="5"/>
  <c r="C7" i="5" s="1"/>
  <c r="C11" i="9"/>
  <c r="D37" i="19" s="1"/>
  <c r="B14" i="17"/>
  <c r="B16" i="17" s="1"/>
  <c r="B18" i="17" s="1"/>
  <c r="B20" i="17" s="1"/>
  <c r="B21" i="17" s="1"/>
  <c r="B28" i="17"/>
  <c r="B30" i="17" s="1"/>
  <c r="B33" i="17" s="1"/>
  <c r="B34" i="17" s="1"/>
  <c r="F31" i="16"/>
  <c r="F33" i="16"/>
  <c r="E31" i="16"/>
  <c r="E33" i="16"/>
  <c r="D31" i="16"/>
  <c r="D33" i="16"/>
  <c r="B27" i="16"/>
  <c r="C30" i="16"/>
  <c r="E9" i="7"/>
  <c r="E17" i="7" s="1"/>
  <c r="E51" i="19" s="1"/>
  <c r="F7" i="7"/>
  <c r="F12" i="6"/>
  <c r="B13" i="15"/>
  <c r="B12" i="15"/>
  <c r="F19" i="6"/>
  <c r="F24" i="6" s="1"/>
  <c r="E19" i="6"/>
  <c r="E24" i="6" s="1"/>
  <c r="F19" i="5"/>
  <c r="F24" i="5" s="1"/>
  <c r="E19" i="5"/>
  <c r="E24" i="5" s="1"/>
  <c r="F12" i="4"/>
  <c r="F6" i="7"/>
  <c r="E12" i="4"/>
  <c r="E6" i="7"/>
  <c r="D6" i="12"/>
  <c r="E6" i="12"/>
  <c r="D8" i="12"/>
  <c r="D5" i="6"/>
  <c r="D15" i="12"/>
  <c r="D5" i="5"/>
  <c r="D14" i="12"/>
  <c r="D5" i="4"/>
  <c r="D13" i="12"/>
  <c r="F9" i="7"/>
  <c r="F17" i="7" s="1"/>
  <c r="F51" i="19" s="1"/>
  <c r="D6" i="8"/>
  <c r="C6" i="8"/>
  <c r="B6" i="8"/>
  <c r="C7" i="6"/>
  <c r="C17" i="6"/>
  <c r="C10" i="6"/>
  <c r="C22" i="6"/>
  <c r="C27" i="6"/>
  <c r="B7" i="6"/>
  <c r="B17" i="6"/>
  <c r="B10" i="6"/>
  <c r="B22" i="6"/>
  <c r="B27" i="6"/>
  <c r="C10" i="5"/>
  <c r="C17" i="5"/>
  <c r="C22" i="5"/>
  <c r="C27" i="5"/>
  <c r="B10" i="5"/>
  <c r="B17" i="5"/>
  <c r="B22" i="5"/>
  <c r="B27" i="5"/>
  <c r="C10" i="4"/>
  <c r="C17" i="4"/>
  <c r="C22" i="4"/>
  <c r="C27" i="4"/>
  <c r="C5" i="7"/>
  <c r="C7" i="4"/>
  <c r="B10" i="4"/>
  <c r="B17" i="4"/>
  <c r="B22" i="4"/>
  <c r="B11" i="7" s="1"/>
  <c r="B27" i="4"/>
  <c r="B5" i="7"/>
  <c r="B7" i="4"/>
  <c r="Y26" i="18" l="1"/>
  <c r="X26" i="18"/>
  <c r="V26" i="18"/>
  <c r="U26" i="18"/>
  <c r="T26" i="18"/>
  <c r="S26" i="18"/>
  <c r="Q26" i="18"/>
  <c r="P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Z26" i="18"/>
  <c r="W26" i="18"/>
  <c r="R26" i="18"/>
  <c r="O26" i="18"/>
  <c r="Z23" i="18"/>
  <c r="Y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E12" i="18"/>
  <c r="X23" i="18"/>
  <c r="S24" i="18"/>
  <c r="R24" i="18"/>
  <c r="Q24" i="18"/>
  <c r="M24" i="18"/>
  <c r="L24" i="18"/>
  <c r="K24" i="18"/>
  <c r="F24" i="18"/>
  <c r="E24" i="18"/>
  <c r="C24" i="18"/>
  <c r="E13" i="18"/>
  <c r="E15" i="18" s="1"/>
  <c r="Z24" i="18"/>
  <c r="Y24" i="18"/>
  <c r="X24" i="18"/>
  <c r="W24" i="18"/>
  <c r="V24" i="18"/>
  <c r="U24" i="18"/>
  <c r="T24" i="18"/>
  <c r="P24" i="18"/>
  <c r="O24" i="18"/>
  <c r="N24" i="18"/>
  <c r="J24" i="18"/>
  <c r="I24" i="18"/>
  <c r="H24" i="18"/>
  <c r="G24" i="18"/>
  <c r="B24" i="18"/>
  <c r="D24" i="18"/>
  <c r="B37" i="17"/>
  <c r="B35" i="17"/>
  <c r="B36" i="17"/>
  <c r="C31" i="16"/>
  <c r="B31" i="16" s="1"/>
  <c r="B30" i="16"/>
  <c r="C33" i="16"/>
  <c r="B33" i="16" s="1"/>
  <c r="C12" i="5"/>
  <c r="C19" i="5" s="1"/>
  <c r="C24" i="5" s="1"/>
  <c r="C7" i="7"/>
  <c r="F25" i="6"/>
  <c r="F28" i="6"/>
  <c r="E25" i="6"/>
  <c r="E28" i="6"/>
  <c r="F25" i="5"/>
  <c r="F28" i="5"/>
  <c r="E28" i="5"/>
  <c r="E25" i="5"/>
  <c r="E19" i="4"/>
  <c r="E8" i="7"/>
  <c r="E16" i="7" s="1"/>
  <c r="E50" i="19" s="1"/>
  <c r="F8" i="7"/>
  <c r="F16" i="7" s="1"/>
  <c r="F50" i="19" s="1"/>
  <c r="F19" i="4"/>
  <c r="D7" i="6"/>
  <c r="D17" i="6"/>
  <c r="D10" i="6"/>
  <c r="D22" i="6"/>
  <c r="D27" i="6"/>
  <c r="D7" i="5"/>
  <c r="D10" i="5"/>
  <c r="D17" i="5"/>
  <c r="D22" i="5"/>
  <c r="D27" i="5"/>
  <c r="D7" i="4"/>
  <c r="D10" i="4"/>
  <c r="D17" i="4"/>
  <c r="D9" i="7" s="1"/>
  <c r="D17" i="7" s="1"/>
  <c r="D51" i="19" s="1"/>
  <c r="D22" i="4"/>
  <c r="D27" i="4"/>
  <c r="D5" i="7"/>
  <c r="D16" i="15"/>
  <c r="D6" i="14"/>
  <c r="D9" i="8"/>
  <c r="D10" i="8"/>
  <c r="D14" i="8"/>
  <c r="C9" i="8"/>
  <c r="C10" i="8"/>
  <c r="C14" i="8"/>
  <c r="B9" i="8"/>
  <c r="B10" i="8"/>
  <c r="B14" i="8"/>
  <c r="C13" i="7"/>
  <c r="C12" i="4"/>
  <c r="C6" i="7"/>
  <c r="B13" i="7"/>
  <c r="B12" i="4"/>
  <c r="B6" i="7"/>
  <c r="C12" i="6"/>
  <c r="C19" i="6" s="1"/>
  <c r="C24" i="6" s="1"/>
  <c r="B12" i="6"/>
  <c r="B19" i="6" s="1"/>
  <c r="B24" i="6" s="1"/>
  <c r="B12" i="5"/>
  <c r="B19" i="5" s="1"/>
  <c r="B24" i="5" s="1"/>
  <c r="C9" i="7"/>
  <c r="C17" i="7" s="1"/>
  <c r="C51" i="19" s="1"/>
  <c r="C11" i="7"/>
  <c r="C18" i="7" s="1"/>
  <c r="B7" i="7"/>
  <c r="B9" i="7"/>
  <c r="B17" i="7" s="1"/>
  <c r="B51" i="19" s="1"/>
  <c r="B18" i="7"/>
  <c r="Z27" i="18" l="1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G30" i="18" s="1"/>
  <c r="F27" i="18"/>
  <c r="F30" i="18" s="1"/>
  <c r="E27" i="18"/>
  <c r="E30" i="18" s="1"/>
  <c r="D27" i="18"/>
  <c r="D30" i="18" s="1"/>
  <c r="C27" i="18"/>
  <c r="C30" i="18" s="1"/>
  <c r="B27" i="18"/>
  <c r="B30" i="18" s="1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D13" i="7"/>
  <c r="D11" i="7"/>
  <c r="D18" i="7" s="1"/>
  <c r="D7" i="7"/>
  <c r="D12" i="6"/>
  <c r="D19" i="6" s="1"/>
  <c r="D24" i="6" s="1"/>
  <c r="D25" i="6" s="1"/>
  <c r="D12" i="5"/>
  <c r="D19" i="5" s="1"/>
  <c r="D24" i="5" s="1"/>
  <c r="F10" i="7"/>
  <c r="F24" i="4"/>
  <c r="E24" i="4"/>
  <c r="E10" i="7"/>
  <c r="D12" i="4"/>
  <c r="D6" i="7"/>
  <c r="D17" i="15"/>
  <c r="D22" i="15" s="1"/>
  <c r="D18" i="15"/>
  <c r="D19" i="15"/>
  <c r="D23" i="15"/>
  <c r="D7" i="14"/>
  <c r="D9" i="14"/>
  <c r="D28" i="6"/>
  <c r="C25" i="5"/>
  <c r="C28" i="5"/>
  <c r="C19" i="4"/>
  <c r="C8" i="7"/>
  <c r="C16" i="7" s="1"/>
  <c r="C50" i="19" s="1"/>
  <c r="B19" i="4"/>
  <c r="B8" i="7"/>
  <c r="B16" i="7" s="1"/>
  <c r="B50" i="19" s="1"/>
  <c r="C28" i="6"/>
  <c r="C25" i="6"/>
  <c r="B28" i="6"/>
  <c r="B25" i="6"/>
  <c r="B28" i="5"/>
  <c r="B25" i="5"/>
  <c r="D11" i="8"/>
  <c r="D13" i="8" s="1"/>
  <c r="D15" i="8" s="1"/>
  <c r="D16" i="8" s="1"/>
  <c r="C11" i="8"/>
  <c r="C13" i="8" s="1"/>
  <c r="C15" i="8" s="1"/>
  <c r="C16" i="8" s="1"/>
  <c r="B11" i="8"/>
  <c r="B13" i="8" s="1"/>
  <c r="B15" i="8" s="1"/>
  <c r="B16" i="8" s="1"/>
  <c r="Z30" i="18" l="1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D25" i="5"/>
  <c r="D28" i="5"/>
  <c r="F12" i="7"/>
  <c r="F19" i="7" s="1"/>
  <c r="F53" i="19" s="1"/>
  <c r="F25" i="4"/>
  <c r="F28" i="4"/>
  <c r="D8" i="7"/>
  <c r="D16" i="7" s="1"/>
  <c r="D50" i="19" s="1"/>
  <c r="D19" i="4"/>
  <c r="E12" i="7"/>
  <c r="E19" i="7" s="1"/>
  <c r="E25" i="4"/>
  <c r="E28" i="4"/>
  <c r="C24" i="4"/>
  <c r="C10" i="7"/>
  <c r="B24" i="4"/>
  <c r="B10" i="7"/>
  <c r="D10" i="7" l="1"/>
  <c r="D24" i="4"/>
  <c r="F14" i="14"/>
  <c r="F20" i="7"/>
  <c r="F57" i="19" s="1"/>
  <c r="F21" i="7"/>
  <c r="F58" i="19" s="1"/>
  <c r="E20" i="7"/>
  <c r="E57" i="19" s="1"/>
  <c r="E21" i="7"/>
  <c r="E58" i="19" s="1"/>
  <c r="E53" i="19"/>
  <c r="E14" i="14"/>
  <c r="C28" i="4"/>
  <c r="C25" i="4"/>
  <c r="C12" i="7"/>
  <c r="B28" i="4"/>
  <c r="B25" i="4"/>
  <c r="B12" i="7"/>
  <c r="B19" i="7" s="1"/>
  <c r="C14" i="14" l="1"/>
  <c r="C19" i="7"/>
  <c r="C53" i="19" s="1"/>
  <c r="B14" i="14"/>
  <c r="B15" i="14" s="1"/>
  <c r="D28" i="4"/>
  <c r="D25" i="4"/>
  <c r="D12" i="7"/>
  <c r="D19" i="7" s="1"/>
  <c r="C21" i="7"/>
  <c r="C58" i="19" s="1"/>
  <c r="C20" i="7"/>
  <c r="C57" i="19" s="1"/>
  <c r="B21" i="7"/>
  <c r="B58" i="19" s="1"/>
  <c r="B20" i="7"/>
  <c r="B57" i="19" s="1"/>
  <c r="B53" i="19"/>
  <c r="C15" i="14" l="1"/>
  <c r="B17" i="14"/>
  <c r="D14" i="14"/>
  <c r="D15" i="14" s="1"/>
  <c r="D21" i="7"/>
  <c r="D58" i="19" s="1"/>
  <c r="D53" i="19"/>
  <c r="D20" i="7"/>
  <c r="C17" i="14"/>
  <c r="B19" i="14"/>
  <c r="B21" i="14"/>
  <c r="D57" i="19" l="1"/>
  <c r="E15" i="14"/>
  <c r="D17" i="14"/>
  <c r="C19" i="14"/>
  <c r="C21" i="14"/>
  <c r="B24" i="15"/>
  <c r="B22" i="14"/>
  <c r="F15" i="14" l="1"/>
  <c r="F17" i="14" s="1"/>
  <c r="E17" i="14"/>
  <c r="D21" i="14"/>
  <c r="D19" i="14"/>
  <c r="C22" i="14"/>
  <c r="C24" i="15"/>
  <c r="F21" i="14" l="1"/>
  <c r="F19" i="14"/>
  <c r="E21" i="14"/>
  <c r="E19" i="14"/>
  <c r="D24" i="15"/>
  <c r="D22" i="14"/>
  <c r="F24" i="15" l="1"/>
  <c r="F22" i="14"/>
  <c r="E24" i="15"/>
  <c r="E2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Dewashish Dey</author>
  </authors>
  <commentList>
    <comment ref="B5" authorId="0" shapeId="0" xr:uid="{40E5495A-F3D8-5540-86B2-4A6E4BDCE416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Pay-30 PD: invoice-secured short tenor. CBUAE FSR 2025 §3.4 reports 1.5-3.0% for SME secured factoring; Moody's UAE Banking 2026 places similar tenors at 1.8-2.2%. Mid-band selection.</t>
        </r>
      </text>
    </comment>
    <comment ref="C5" authorId="0" shapeId="0" xr:uid="{11350389-E1A8-3A47-98EF-197CA9E16AAA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BNPL PD: multi-installment 60-180d exposure. CBUAE FSR 2025 unsecured short-tenor segment 4-6%; Moody's UAE Banking 2026 B2B BNPL 3.5-4.5%. Conservative mid-point.</t>
        </r>
      </text>
    </comment>
    <comment ref="D5" authorId="0" shapeId="0" xr:uid="{361DA2CB-3DDA-8F4F-9247-1D23829C99D0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Term Extension PD: distressed cohort post-Pay-30/BNPL miss. Basel III IRB foundation default-defaulted band 8-15% for restructured exposures. Conservative.</t>
        </r>
      </text>
    </comment>
    <comment ref="B6" authorId="0" shapeId="0" xr:uid="{698385BB-1DCD-014F-B646-873086946F65}">
      <text>
        <r>
          <rPr>
            <b/>
            <sz val="10"/>
            <color rgb="FF000000"/>
            <rFont val="Tahoma"/>
            <family val="2"/>
          </rPr>
          <t>Pay-30 LGD: invoice as collateral, 90% advance, but recovery infrastructure not yet built in Y1-Y3. Basel III IRB foundation senior-secured corporate is 25% with collateral perfection; Mal uses 35% to reflect realistic UAE invoice-discount LGD (30-40%) accounting for fraud, payor disputes, 90d collection lag. Tightened from 25% as part of RAROC calibration pass.</t>
        </r>
      </text>
    </comment>
    <comment ref="C6" authorId="0" shapeId="0" xr:uid="{FEF6E668-920B-4148-B306-340F5E06DC29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BNPL LGD: multi-installment, partial collateral via invoice but extended tenor erodes recovery. Basel III IRB foundation senior-unsecured 45%. Moody's UAE Banking 2026 B2B BNPL workout 40-50%.</t>
        </r>
      </text>
    </comment>
    <comment ref="D6" authorId="0" shapeId="0" xr:uid="{0812E106-46D5-924A-8917-0F0CDD7E1541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Extension LGD: unsecured workout. Original supplier already settled by Mal; restructure schedule has no collateral. Basel III IRB subordinated-unsecured 75%; UAE restructured SME 50-70%. Mid-band.</t>
        </r>
      </text>
    </comment>
    <comment ref="B7" authorId="0" shapeId="0" xr:uid="{41E8087E-D6FB-A249-A487-06600DA92549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Pay-30 EAD: full book exposed. No undrawn commitments in single-bullet product.</t>
        </r>
      </text>
    </comment>
    <comment ref="C7" authorId="0" shapeId="0" xr:uid="{6887CD7E-7852-9046-A7FF-F4B2847E0AC1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BNPL EAD: full book exposed. Installments scheduled, no revolving facility.</t>
        </r>
      </text>
    </comment>
    <comment ref="D7" authorId="0" shapeId="0" xr:uid="{7ABEA9E0-A51E-4244-A5AC-9268CF8FBA1D}">
      <text>
        <r>
          <rPr>
            <b/>
            <sz val="10"/>
            <color rgb="FF000000"/>
            <rFont val="Tahoma"/>
            <family val="2"/>
          </rPr>
          <t>Dewashish Dey: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Extension EAD: full restructured balance exposed.</t>
        </r>
      </text>
    </comment>
  </commentList>
</comments>
</file>

<file path=xl/sharedStrings.xml><?xml version="1.0" encoding="utf-8"?>
<sst xmlns="http://schemas.openxmlformats.org/spreadsheetml/2006/main" count="769" uniqueCount="586">
  <si>
    <t>Mal · Product 1 · Smart Invoice</t>
  </si>
  <si>
    <t>Invoice Discount + BNPL embedded + Flexible Tenure embedded</t>
  </si>
  <si>
    <t>Currency: AED · Unit: M (millions) unless noted · Time: annualised</t>
  </si>
  <si>
    <t>Purpose</t>
  </si>
  <si>
    <t>Canonical financial model for Mal Smart Invoice. Source of truth for the prototype viewer in section-financial.jsx. Hand to Anthropic Model Builder / Valuation Reviewer agents in Claude.ai for stress-testing and scenario expansion.</t>
  </si>
  <si>
    <t>Structure</t>
  </si>
  <si>
    <t>Inputs (editable) → Volume &amp; Mix → 3 track P&amp;Ls (Pay-30, BNPL, Term Extension) → Combined → Unit Economics → Sensitivity → Validation. Each track P&amp;L is identical in shape so agents can compare them.</t>
  </si>
  <si>
    <t>Editing</t>
  </si>
  <si>
    <t>Lilac cells = inputs (edit these). Paper cells = formulas (do not overwrite). Sage cells = key outputs. Named ranges defined for every input — see Formulas tab in Excel.</t>
  </si>
  <si>
    <t>UAE benchmarks used</t>
  </si>
  <si>
    <t>Cost of funds</t>
  </si>
  <si>
    <t>3M EIBOR ~5.10–5.30% (May 2026). NBFI spread 1.0–1.5% over EIBOR for senior unsecured. Use 6.5%. Sources: CBUAE Monetary Bulletin Q1 2026; Fitch UAE Banks 2026 outlook.</t>
  </si>
  <si>
    <t>Term extension (16% APR)</t>
  </si>
  <si>
    <t>Restructured/workout SME credit in UAE: 16–22% APR depending on collateral. CBUAE allows distressed-credit pricing up to consumer-protection caps. Note: 16% sits at low end — see Validation sheet for risk-priced alternative at 19%.</t>
  </si>
  <si>
    <t>OpEx (2.4% of book)</t>
  </si>
  <si>
    <t>Mature UAE factor: 1.5–2.5% of book. Early-stage fintech lender: 4–6% Y1 falling to 2–3% Y3. Mal trajectory plausible if scaling per disbursement plan. Source: NBFC public filings (Reem Finance, Aafaq); Strategy&amp; UAE fintech benchmarks 2025.</t>
  </si>
  <si>
    <t>Advance rate (90%)</t>
  </si>
  <si>
    <t>UAE invoice discount norm: 80–95% of face. 90% standard for prime obligor. Higher for anchor-validated invoices. Source: Mashreq SCF, CBI Working Capital schedules.</t>
  </si>
  <si>
    <t>Avg ticket (AED 80k)</t>
  </si>
  <si>
    <t>UAE SME invoice median 50–120k (DED registry data inferred). Mal target segment trade/services. Source: Strategy doc Section 4.2.</t>
  </si>
  <si>
    <t>Avg tenor (75 days)</t>
  </si>
  <si>
    <t>Blended: Pay-30 (40% mix), BNPL 60-180 (50% mix avg ~90d), Extension 6-mo (10% mix). Weighted = 75d.</t>
  </si>
  <si>
    <t>Bench-marks NOT yet validated against Moody's</t>
  </si>
  <si>
    <t>Phase 2: replace defaultRatePct per track with PD/LGD/EAD curves from Moody's MCP for actual UAE private-company ratings distribution.</t>
  </si>
  <si>
    <t>Inputs · Smart Invoice</t>
  </si>
  <si>
    <t>Edit lilac cells. Named ranges available — see formulas in track P&amp;L sheets.</t>
  </si>
  <si>
    <t>Assumption</t>
  </si>
  <si>
    <t>Value</t>
  </si>
  <si>
    <t>Unit</t>
  </si>
  <si>
    <t>Named range</t>
  </si>
  <si>
    <t>Validation note</t>
  </si>
  <si>
    <t>Volume</t>
  </si>
  <si>
    <t>Disbursement Y1</t>
  </si>
  <si>
    <t>AED M</t>
  </si>
  <si>
    <t>disb_y1</t>
  </si>
  <si>
    <t>Strategy doc Section 5.1 — Y1 plan.</t>
  </si>
  <si>
    <t>Disbursement Y2</t>
  </si>
  <si>
    <t>disb_y2</t>
  </si>
  <si>
    <t>Strategy doc Section 5.1 — Y2 plan.</t>
  </si>
  <si>
    <t>Disbursement Y3</t>
  </si>
  <si>
    <t>disb_y3</t>
  </si>
  <si>
    <t>Strategy doc Section 5.1 — Y3 plan.</t>
  </si>
  <si>
    <t>Avg ticket size</t>
  </si>
  <si>
    <t>AED K</t>
  </si>
  <si>
    <t>avg_ticket_k</t>
  </si>
  <si>
    <t>UAE SME invoice median 50–120k.</t>
  </si>
  <si>
    <t>Mix</t>
  </si>
  <si>
    <t>Pay-30 share of book</t>
  </si>
  <si>
    <t>%</t>
  </si>
  <si>
    <t>mix_pay30</t>
  </si>
  <si>
    <t>Buyer plan picker default; demo flow data.</t>
  </si>
  <si>
    <t>BNPL share of book</t>
  </si>
  <si>
    <t>mix_bnpl</t>
  </si>
  <si>
    <t>Pay-60/90/120/180 plans blended.</t>
  </si>
  <si>
    <t>Term Extension share</t>
  </si>
  <si>
    <t>mix_ext</t>
  </si>
  <si>
    <t>Extension penetration ~22% × Pay-30 share.</t>
  </si>
  <si>
    <t>Tenor</t>
  </si>
  <si>
    <t>Pay-30 avg tenor</t>
  </si>
  <si>
    <t>days</t>
  </si>
  <si>
    <t>tenor_pay30</t>
  </si>
  <si>
    <t>Single-bullet 30-day pay.</t>
  </si>
  <si>
    <t>BNPL avg tenor</t>
  </si>
  <si>
    <t>tenor_bnpl</t>
  </si>
  <si>
    <t>Weighted avg of 60/90/120/180 plans.</t>
  </si>
  <si>
    <t>Term Extension tenor</t>
  </si>
  <si>
    <t>tenor_ext</t>
  </si>
  <si>
    <t>6-month restructure schedule.</t>
  </si>
  <si>
    <t>Pricing</t>
  </si>
  <si>
    <t>Pay-30 discount fee</t>
  </si>
  <si>
    <t>% per month</t>
  </si>
  <si>
    <t>fee_pay30_mo</t>
  </si>
  <si>
    <t>BNPL fee</t>
  </si>
  <si>
    <t>fee_bnpl_mo</t>
  </si>
  <si>
    <t>Term Extension APR</t>
  </si>
  <si>
    <t>fee_ext_apr</t>
  </si>
  <si>
    <t>16% low end. See Validation for 19% risk-priced alt.</t>
  </si>
  <si>
    <t>Advance rate</t>
  </si>
  <si>
    <t>% of invoice</t>
  </si>
  <si>
    <t>advance_rate</t>
  </si>
  <si>
    <t>UAE norm 80–95%; 90% prime obligor.</t>
  </si>
  <si>
    <t>Cost</t>
  </si>
  <si>
    <t>% APR</t>
  </si>
  <si>
    <t>cof_apr</t>
  </si>
  <si>
    <t>EIBOR ~5.2% + NBFI spread 1.3% = 6.5%.</t>
  </si>
  <si>
    <t>OpEx (% of avg book)</t>
  </si>
  <si>
    <t>opex_pct</t>
  </si>
  <si>
    <t>Y3 mature; ramps 4.0/3.0/2.4 per JSX.</t>
  </si>
  <si>
    <t>Risk</t>
  </si>
  <si>
    <t>Capital</t>
  </si>
  <si>
    <t>Equity (% of avg book)</t>
  </si>
  <si>
    <t>equity_pct</t>
  </si>
  <si>
    <t>OpEx ramp</t>
  </si>
  <si>
    <t>OpEx Y1 multiplier</t>
  </si>
  <si>
    <t>x of base</t>
  </si>
  <si>
    <t>opex_y1_mult</t>
  </si>
  <si>
    <t>Y1 = 4.0% / 2.4% = 1.67x.</t>
  </si>
  <si>
    <t>OpEx Y2 multiplier</t>
  </si>
  <si>
    <t>opex_y2_mult</t>
  </si>
  <si>
    <t>Y2 = 3.0% / 2.4% = 1.25x.</t>
  </si>
  <si>
    <t>OpEx Y3 multiplier</t>
  </si>
  <si>
    <t>opex_y3_mult</t>
  </si>
  <si>
    <t>Y3 = 2.4% (mature).</t>
  </si>
  <si>
    <t>Volume &amp; Average Book per Track</t>
  </si>
  <si>
    <t>book = disbursement × advance_rate × tenor / 365 × mix_share</t>
  </si>
  <si>
    <t>Item</t>
  </si>
  <si>
    <t>Y1</t>
  </si>
  <si>
    <t>Y2</t>
  </si>
  <si>
    <t>Y3</t>
  </si>
  <si>
    <t>Notes</t>
  </si>
  <si>
    <t>Disbursement (face value)</t>
  </si>
  <si>
    <t>Advanced principal</t>
  </si>
  <si>
    <t>disb × advance_rate</t>
  </si>
  <si>
    <t>Per-track average book (AED M)</t>
  </si>
  <si>
    <t xml:space="preserve">  Pay-30 book</t>
  </si>
  <si>
    <t>mix_pay30 share, 30-day tenor</t>
  </si>
  <si>
    <t xml:space="preserve">  BNPL book</t>
  </si>
  <si>
    <t>mix_bnpl share, 105-day blended tenor</t>
  </si>
  <si>
    <t xml:space="preserve">  Term Extension book</t>
  </si>
  <si>
    <t>mix_ext share, 180-day tenor</t>
  </si>
  <si>
    <t>Total avg book</t>
  </si>
  <si>
    <t>sum of tracks</t>
  </si>
  <si>
    <t>Track A · Pay-30 (single-bullet)</t>
  </si>
  <si>
    <t>Single-bullet 30-day pay. Invoice acts as collateral. Lowest default; lowest yield.</t>
  </si>
  <si>
    <t>Line</t>
  </si>
  <si>
    <t>Formula</t>
  </si>
  <si>
    <t>Avg book</t>
  </si>
  <si>
    <t>from 'Volume &amp; Mix'</t>
  </si>
  <si>
    <t>Gross yield (% APR)</t>
  </si>
  <si>
    <t>fee_pay30_mo × 12 = APR</t>
  </si>
  <si>
    <t>Gross interest income (AED M)</t>
  </si>
  <si>
    <t>book × yield</t>
  </si>
  <si>
    <t>Cost of funds (% APR)</t>
  </si>
  <si>
    <t>Funding cost (AED M)</t>
  </si>
  <si>
    <t>book × COF</t>
  </si>
  <si>
    <t>NIM (AED M)</t>
  </si>
  <si>
    <t>gross - funding</t>
  </si>
  <si>
    <t>Loss provision (AED M)</t>
  </si>
  <si>
    <t>book × net loss rate</t>
  </si>
  <si>
    <t>Risk-adj margin (AED M)</t>
  </si>
  <si>
    <t>NIM - losses</t>
  </si>
  <si>
    <t>ramps to mature in Y3</t>
  </si>
  <si>
    <t>OpEx (AED M)</t>
  </si>
  <si>
    <t>book × opex%</t>
  </si>
  <si>
    <t>Net contribution (AED M)</t>
  </si>
  <si>
    <t>RAM - OpEx</t>
  </si>
  <si>
    <t>ROA (% of avg book)</t>
  </si>
  <si>
    <t>net contrib / book</t>
  </si>
  <si>
    <t>Equity allocated (AED M)</t>
  </si>
  <si>
    <t>book × equity_pct</t>
  </si>
  <si>
    <t>RAROC (% on equity)</t>
  </si>
  <si>
    <t>net contrib / equity</t>
  </si>
  <si>
    <t>Track B · BNPL (60/90/120/180 blended)</t>
  </si>
  <si>
    <t>Multi-installment over 60–180 days. Higher exposure → higher default. Yield priced ~12.5% above Pay-30.</t>
  </si>
  <si>
    <t>fee_bnpl_mo × 12 = APR</t>
  </si>
  <si>
    <t>Track C · Term Extension (6-mo restructure)</t>
  </si>
  <si>
    <t>Workout product for Pay-30/BNPL non-payers. APR-priced. Distressed cohort: highest default; recovery lower.</t>
  </si>
  <si>
    <t>fee_ext_apr (direct APR)</t>
  </si>
  <si>
    <t>Combined Smart Invoice P&amp;L</t>
  </si>
  <si>
    <t>Line (AED M)</t>
  </si>
  <si>
    <t>Gross interest income</t>
  </si>
  <si>
    <t>Funding cost</t>
  </si>
  <si>
    <t>NIM</t>
  </si>
  <si>
    <t>Loss provision</t>
  </si>
  <si>
    <t>Risk-adj margin</t>
  </si>
  <si>
    <t>OpEx</t>
  </si>
  <si>
    <t>Net contribution</t>
  </si>
  <si>
    <t>Equity</t>
  </si>
  <si>
    <t>Ratios</t>
  </si>
  <si>
    <t>NIM (% of book)</t>
  </si>
  <si>
    <t>Loss rate (% of book)</t>
  </si>
  <si>
    <t>OpEx (% of book)</t>
  </si>
  <si>
    <t>Unit Economics — per AED 100k of Invoice Face Value</t>
  </si>
  <si>
    <t>Per-invoice contribution by track. Useful for pricing-committee debates.</t>
  </si>
  <si>
    <t>Line (AED per 100k)</t>
  </si>
  <si>
    <t>Pay-30</t>
  </si>
  <si>
    <t>BNPL</t>
  </si>
  <si>
    <t>Extension</t>
  </si>
  <si>
    <t>Invoice face</t>
  </si>
  <si>
    <t>Tenor (days)</t>
  </si>
  <si>
    <t>Yield (annual %)</t>
  </si>
  <si>
    <t>Gross fee earned</t>
  </si>
  <si>
    <t>Expected loss</t>
  </si>
  <si>
    <t>OpEx (mature, % of book)</t>
  </si>
  <si>
    <t>Net contribution per invoice</t>
  </si>
  <si>
    <t>Net contribution as % of face</t>
  </si>
  <si>
    <t>Holds all else constant. Useful for stress-test discussions with risk committee.</t>
  </si>
  <si>
    <t>COF 5.5%</t>
  </si>
  <si>
    <t>COF 6.0%</t>
  </si>
  <si>
    <t>COF 6.5%</t>
  </si>
  <si>
    <t>COF 7.0%</t>
  </si>
  <si>
    <t>COF 7.5%</t>
  </si>
  <si>
    <t>COF 8.0%</t>
  </si>
  <si>
    <t>COF 8.5%</t>
  </si>
  <si>
    <t>Read-out:</t>
  </si>
  <si>
    <t>Top-right (severe default + cheap funding) shows downside; bottom-left vice versa.</t>
  </si>
  <si>
    <t>Validation against UAE benchmarks · Alternative scenarios</t>
  </si>
  <si>
    <t>Mal value</t>
  </si>
  <si>
    <t>Mkt range</t>
  </si>
  <si>
    <t>Source / risk-priced alternative</t>
  </si>
  <si>
    <t>6.5% APR</t>
  </si>
  <si>
    <t>6.0–8.0%</t>
  </si>
  <si>
    <t>3M EIBOR ~5.2% + NBFI spread 1.0–1.5%. CBUAE Monetary Bulletin Q1 2026; Fitch UAE Banks 2026 outlook.</t>
  </si>
  <si>
    <t>1.5–2.2%/mo</t>
  </si>
  <si>
    <t>2.0–2.8%/mo</t>
  </si>
  <si>
    <t>16% APR</t>
  </si>
  <si>
    <t>16–22% APR</t>
  </si>
  <si>
    <t>LOW END. Risk-priced alt: 19% APR. Test in Sensitivity sheet by editing fee_ext_apr.</t>
  </si>
  <si>
    <t>1.5–3.0%</t>
  </si>
  <si>
    <t>3.0–5.0%</t>
  </si>
  <si>
    <t>OpEx (mature)</t>
  </si>
  <si>
    <t>2.4% of book</t>
  </si>
  <si>
    <t>Reem Finance, Aafaq public filings. Y3 mature target; ramps from 4.0% Y1.</t>
  </si>
  <si>
    <t>Equity %</t>
  </si>
  <si>
    <t>10–15%</t>
  </si>
  <si>
    <t>90%</t>
  </si>
  <si>
    <t>80–95%</t>
  </si>
  <si>
    <t>Prime-obligor norm. Anchor-validated invoices can go 95%.</t>
  </si>
  <si>
    <t>Avg ticket</t>
  </si>
  <si>
    <t>AED 80k</t>
  </si>
  <si>
    <t>50–120k</t>
  </si>
  <si>
    <t>UAE SME invoice median (DED registry inferred).</t>
  </si>
  <si>
    <t>Open validation tasks</t>
  </si>
  <si>
    <t>1. Replace estimated UAE SME default sub-segment numbers with sector-specific ratios from IBISWorld connector once Cowork access is wired.</t>
  </si>
  <si>
    <t>2. Replace blended PD/LGD with Moody's MCP private-company curves for actual UAE rating distribution.</t>
  </si>
  <si>
    <t>3. Validate Pay-30 vs BNPL mix ratio against actual buyer-plan-picker telemetry once the prototype goes live to test users.</t>
  </si>
  <si>
    <t>5. Cross-check OpEx ramp against actual cost-to-income ratios in audited financials of Reem Finance / Aafaq Islamic Finance.</t>
  </si>
  <si>
    <t>6. Confirm 90% advance rate is acceptable to senior bank funding lines (Mashreq, ENBD): typical co-fund advance covenant 85%.</t>
  </si>
  <si>
    <t>COF ↓</t>
  </si>
  <si>
    <t>Last updated</t>
  </si>
  <si>
    <t>Disbursement Y4</t>
  </si>
  <si>
    <t>disb_y4</t>
  </si>
  <si>
    <t>Five-year extension; growth tapering from Y3 trajectory.</t>
  </si>
  <si>
    <t>Disbursement Y5</t>
  </si>
  <si>
    <t>disb_y5</t>
  </si>
  <si>
    <t>Five-year extension; mature scale assumption.</t>
  </si>
  <si>
    <t>OpEx Y4 multiplier</t>
  </si>
  <si>
    <t>opex_y4_mult</t>
  </si>
  <si>
    <t>Y4 = 2.4% × 0.95 = 2.28% — operating leverage.</t>
  </si>
  <si>
    <t>OpEx Y5 multiplier</t>
  </si>
  <si>
    <t>opex_y5_mult</t>
  </si>
  <si>
    <t>Y5 = 2.4% × 0.92 = 2.21% — continued leverage.</t>
  </si>
  <si>
    <t>Y4</t>
  </si>
  <si>
    <t>Y5</t>
  </si>
  <si>
    <t>Disbursement Plan · 5-year trajectory</t>
  </si>
  <si>
    <t>Strategy doc Sections 5.1 — figures locked unless flagged. Sourced from disb_y1..disb_y5.</t>
  </si>
  <si>
    <t>Y1→Y5 CAGR</t>
  </si>
  <si>
    <t>Disbursement (face)</t>
  </si>
  <si>
    <t>AED M invoice face value disbursed</t>
  </si>
  <si>
    <t xml:space="preserve">  YoY growth</t>
  </si>
  <si>
    <t>Strategy: 6.0x → 2.7x → 2.0x → 1.6x ramp</t>
  </si>
  <si>
    <t>= face × advance_rate (90%)</t>
  </si>
  <si>
    <t>Weighted by mix × tenor</t>
  </si>
  <si>
    <t>Composition (% of book)</t>
  </si>
  <si>
    <t xml:space="preserve">  Pay-30 share</t>
  </si>
  <si>
    <t>30-day tenor weight is small in book share</t>
  </si>
  <si>
    <t xml:space="preserve">  BNPL share</t>
  </si>
  <si>
    <t>Dominant book share — 105d tenor + 50% mix</t>
  </si>
  <si>
    <t xml:space="preserve">  Term Extension share</t>
  </si>
  <si>
    <t>180d distressed tenor</t>
  </si>
  <si>
    <t>Risk Layer · PD / LGD / EAD by Track</t>
  </si>
  <si>
    <t>Basel III IRB Foundation framework. EL = PD × LGD × EAD × book. Sources: Moody's UAE Banking 2026, CBUAE FSR 2025 §3.4, Basel III IRB.</t>
  </si>
  <si>
    <t>Parameter</t>
  </si>
  <si>
    <t>Term Extension</t>
  </si>
  <si>
    <t>Stress (1.5× PD)</t>
  </si>
  <si>
    <t>Source / Note</t>
  </si>
  <si>
    <t>PD (% p.a.)</t>
  </si>
  <si>
    <t>Stress = base PD × 1.5 (CBUAE 2020 COVID-19 downturn template)</t>
  </si>
  <si>
    <t>LGD (%)</t>
  </si>
  <si>
    <t>(unchanged)</t>
  </si>
  <si>
    <t>LGD held flat under PD stress; downturn-LGD test in Scenarios</t>
  </si>
  <si>
    <t>EAD (% of book)</t>
  </si>
  <si>
    <t>Phase 2: introduce CCF-based EAD if a revolving facility variant is launched</t>
  </si>
  <si>
    <t>Net loss rate (% of book)</t>
  </si>
  <si>
    <t>see stress block below</t>
  </si>
  <si>
    <t>= PD×LGD×EAD (annualised, % of avg book)</t>
  </si>
  <si>
    <t>Stressed net loss rate (1.5× PD)</t>
  </si>
  <si>
    <t>Stress = PD × 1.5; LGD/EAD held</t>
  </si>
  <si>
    <t>PD (% APR) — pd_pay30</t>
  </si>
  <si>
    <t>LGD (%) — lgd_pay30</t>
  </si>
  <si>
    <t>Probability of default — Risk Layer sheet</t>
  </si>
  <si>
    <t>Loss given default — collateral-implied</t>
  </si>
  <si>
    <t>PD × LGD × EAD</t>
  </si>
  <si>
    <t>PD (% APR) — pd_bnpl</t>
  </si>
  <si>
    <t>LGD (%) — lgd_bnpl</t>
  </si>
  <si>
    <t>Loss given default — multi-installment</t>
  </si>
  <si>
    <t>PD (% APR) — pd_ext</t>
  </si>
  <si>
    <t>LGD (%) — lgd_ext</t>
  </si>
  <si>
    <t>Loss given default — workout/distressed</t>
  </si>
  <si>
    <t>Pay-30 PD</t>
  </si>
  <si>
    <t>Invoice-secured factoring. CBUAE FSR 2025 §3.4 SME secured band.</t>
  </si>
  <si>
    <t>BNPL PD</t>
  </si>
  <si>
    <t>Multi-installment exposure. CBUAE FSR 2025 + Moody's UAE Banking 2026.</t>
  </si>
  <si>
    <t>Term Extension PD</t>
  </si>
  <si>
    <t>8.0–12.0%</t>
  </si>
  <si>
    <t>Distressed/workout cohort. CBUAE downturn template suggests 1.5× stress to 15%.</t>
  </si>
  <si>
    <t>Pay-30 LGD</t>
  </si>
  <si>
    <t>BNPL LGD</t>
  </si>
  <si>
    <t>40–55%</t>
  </si>
  <si>
    <t>Partial collateral via invoice; multi-installment dilutes recovery. Moody's UAE Banking 2026.</t>
  </si>
  <si>
    <t>Term Extension LGD</t>
  </si>
  <si>
    <t>55–75%</t>
  </si>
  <si>
    <t>Unsecured workout. CBUAE distressed-credit norms; FSRA NBFC reviews.</t>
  </si>
  <si>
    <t>EAD (all tracks)</t>
  </si>
  <si>
    <t>95–100%</t>
  </si>
  <si>
    <t>Full advanced principal at risk; no undrawn commitment. Basel III standardised approach.</t>
  </si>
  <si>
    <t>Capital Plan · Tier-1 adequacy &amp; equity headroom</t>
  </si>
  <si>
    <t>= Combined P&amp;L row 5</t>
  </si>
  <si>
    <t>Risk-weighted assets (100% RWA)</t>
  </si>
  <si>
    <t>Basel III standardised: unrated SME unsecured → 100%.</t>
  </si>
  <si>
    <t>Required equity (Tier-1)</t>
  </si>
  <si>
    <t>Equity raised in year (input)</t>
  </si>
  <si>
    <t>Y1: seed 30 + Series A 80. Y2: Series B 250. Y4: Series C 500.</t>
  </si>
  <si>
    <t>Cumulative equity raised</t>
  </si>
  <si>
    <t>Running sum of paid-in capital.</t>
  </si>
  <si>
    <t>Net contribution (annual)</t>
  </si>
  <si>
    <t>From Combined P&amp;L row 12.</t>
  </si>
  <si>
    <t>Retained earnings (60% retention)</t>
  </si>
  <si>
    <t>Cumulative retention; 40% paid as dividend / reinvestment buffer.</t>
  </si>
  <si>
    <t>Total available equity</t>
  </si>
  <si>
    <t>Cumulative paid-in + cumulative retained.</t>
  </si>
  <si>
    <t>Equity headroom (avail − required)</t>
  </si>
  <si>
    <t>Negative → capital raise required to support book.</t>
  </si>
  <si>
    <t>Tier-1 ratio (avail / RWA)</t>
  </si>
  <si>
    <t>CBUAE min: 10.5% CET1 + 2.5% conservation = 13% standard.</t>
  </si>
  <si>
    <t xml:space="preserve">  vs CBUAE 13% threshold</t>
  </si>
  <si>
    <t>Hard floor; breach triggers regulatory capital action.</t>
  </si>
  <si>
    <t>Funding Stack · blended cost of funds &amp; covenant check</t>
  </si>
  <si>
    <t>Liability waterfall fundng total avg book. EIBOR base + spread per tranche. Tied to cof_apr in Inputs.</t>
  </si>
  <si>
    <t>Tranche assumptions</t>
  </si>
  <si>
    <t>Share %</t>
  </si>
  <si>
    <t>Spread bps</t>
  </si>
  <si>
    <t>EIBOR (base)</t>
  </si>
  <si>
    <t>All-in rate</t>
  </si>
  <si>
    <t>Senior bank facility</t>
  </si>
  <si>
    <t>Mezzanine / sub debt</t>
  </si>
  <si>
    <t>Family-office mezz / DFM-listed sukuk. EIBOR + 400 bps.</t>
  </si>
  <si>
    <t>Equity (Tier-1)</t>
  </si>
  <si>
    <t>No interest cost. Equity return captured in RAROC.</t>
  </si>
  <si>
    <t>Total share</t>
  </si>
  <si>
    <t>Should = 100%.</t>
  </si>
  <si>
    <t>Blended cost of funds (debt-only)</t>
  </si>
  <si>
    <t>Weighted across senior + mezz only. Compare to cof_apr (6.5%) on Inputs.</t>
  </si>
  <si>
    <t xml:space="preserve">  vs cof_apr in Inputs</t>
  </si>
  <si>
    <t>Hardcoded model assumption.</t>
  </si>
  <si>
    <t xml:space="preserve">  Variance (bps)</t>
  </si>
  <si>
    <t>Positive → Inputs cof_apr understates cost. Negative → buffer.</t>
  </si>
  <si>
    <t xml:space="preserve">  Status</t>
  </si>
  <si>
    <t>Decision rule for cof_apr update.</t>
  </si>
  <si>
    <t>Funding waterfall (AED M, Y3 base case)</t>
  </si>
  <si>
    <t>Senior facility drawn</t>
  </si>
  <si>
    <t>Mezzanine drawn</t>
  </si>
  <si>
    <t>Equity funded</t>
  </si>
  <si>
    <t>Covenant tests</t>
  </si>
  <si>
    <t>Senior ≤ 85% of book</t>
  </si>
  <si>
    <t>Single-obligor ≤ 10% of book</t>
  </si>
  <si>
    <t>Tier-1 ≥ 13% (CBUAE)</t>
  </si>
  <si>
    <t>Active scenario:</t>
  </si>
  <si>
    <t>Base</t>
  </si>
  <si>
    <t>← scenario index (1-4)</t>
  </si>
  <si>
    <t>Pick from dropdown. All Tracks, Combined P&amp;L, Capital Plan, and Funding Stack recompute live.</t>
  </si>
  <si>
    <t>Input (named range)</t>
  </si>
  <si>
    <t>Active value</t>
  </si>
  <si>
    <t>Upside</t>
  </si>
  <si>
    <t>Downside</t>
  </si>
  <si>
    <t>Stress</t>
  </si>
  <si>
    <t>Adjustment logic / source</t>
  </si>
  <si>
    <t>disb_y3 (AED M)</t>
  </si>
  <si>
    <t>Up +20%, Down –20%, Stress –40% (CBUAE 2008/2020 SME originations contraction).</t>
  </si>
  <si>
    <t>fee_pay30_mo (%/mo)</t>
  </si>
  <si>
    <t>Up/Down ±20 bps. Stress flat (price-takers in distress markets).</t>
  </si>
  <si>
    <t>fee_bnpl_mo (%/mo)</t>
  </si>
  <si>
    <t>Same ±20 bps; stress flat.</t>
  </si>
  <si>
    <t>fee_ext_apr (% APR)</t>
  </si>
  <si>
    <t>Up/Down ±200 bps; stress flat.</t>
  </si>
  <si>
    <t>cof_apr (% APR)</t>
  </si>
  <si>
    <t>Stress +200 bps mirrors CBUAE 2020 EIBOR shock + 75 bps spread widening.</t>
  </si>
  <si>
    <t>opex_pct (% of book)</t>
  </si>
  <si>
    <t>Stress +50 bps reflects collection-cost surge during distressed cohorts.</t>
  </si>
  <si>
    <t>pd_pay30 (% p.a.)</t>
  </si>
  <si>
    <t>Up –20%, Down +30%, Stress +80% (CBUAE 2008 SME secured-factoring NPL spike: 2.0% → ~3.6%).</t>
  </si>
  <si>
    <t>pd_bnpl (% p.a.)</t>
  </si>
  <si>
    <t>Same multipliers; CBUAE 2020 unsecured short-tenor cohort stress.</t>
  </si>
  <si>
    <t>pd_ext (% p.a.)</t>
  </si>
  <si>
    <t>Workout cohort. Stress to 18% mirrors 2008 distressed bank-loan NPL ratios.</t>
  </si>
  <si>
    <t>Y3 KPI Panel — side-by-side (independent of dropdown)</t>
  </si>
  <si>
    <t>All 4 columns are computed inline from override values — they don't depend on B1.</t>
  </si>
  <si>
    <t>KPI</t>
  </si>
  <si>
    <t>(active)</t>
  </si>
  <si>
    <t>Disbursement Y3 (AED M)</t>
  </si>
  <si>
    <t>Pay-30 book Y3 (AED M)</t>
  </si>
  <si>
    <t>BNPL book Y3 (AED M)</t>
  </si>
  <si>
    <t>Extension book Y3 (AED M)</t>
  </si>
  <si>
    <t>Total book Y3 (AED M)</t>
  </si>
  <si>
    <t>Gross interest income Y3 (AED M)</t>
  </si>
  <si>
    <t>Funding cost Y3 (AED M)</t>
  </si>
  <si>
    <t>NIM Y3 (AED M)</t>
  </si>
  <si>
    <t>Loss provision Y3 (AED M)</t>
  </si>
  <si>
    <t>OpEx Y3 (AED M)</t>
  </si>
  <si>
    <t>Net contribution Y3 (AED M)</t>
  </si>
  <si>
    <t>ROA Y3 (% of book)</t>
  </si>
  <si>
    <t>RAROC Y3 (% on equity)</t>
  </si>
  <si>
    <t>Break-even · Y2 disbursement &amp; Y3 PD-stress tolerance</t>
  </si>
  <si>
    <t>Algebraic solutions — no Goal Seek required. Recompute live as named-range inputs change.</t>
  </si>
  <si>
    <t>[1] Y2 disbursement break-even (NetContrib ≥ fixed OpEx floor)</t>
  </si>
  <si>
    <t>Fixed OpEx floor Y2 (AED M)</t>
  </si>
  <si>
    <t>Headcount + tech + regulatory minimum infrastructure run-rate Y2.</t>
  </si>
  <si>
    <t>Book per AED 1 of disbursement (factor)</t>
  </si>
  <si>
    <t>= adv × Σ(mix×tenor) / 365. Approx 0.20 — each AED 1 disbursed sits ~73 days on avg.</t>
  </si>
  <si>
    <t>Per-track yield (% APR)</t>
  </si>
  <si>
    <t>Weighted (% APR)</t>
  </si>
  <si>
    <t>Yield</t>
  </si>
  <si>
    <t>Variable margin (% of book)</t>
  </si>
  <si>
    <t>= weighted yield − COF − loss rate − OpEx Y2</t>
  </si>
  <si>
    <t>Variable margin per AED disbursed (factor)</t>
  </si>
  <si>
    <t>= book/disb factor × variable margin %</t>
  </si>
  <si>
    <t>Y2 disbursement break-even (AED M)</t>
  </si>
  <si>
    <t>= OpEx floor / margin per AED disbursed</t>
  </si>
  <si>
    <t xml:space="preserve">  vs current disb_y2</t>
  </si>
  <si>
    <t>Strategy doc plan.</t>
  </si>
  <si>
    <t xml:space="preserve">  Headroom (current − BE)</t>
  </si>
  <si>
    <t>Positive → plan covers fixed OpEx with margin to spare.</t>
  </si>
  <si>
    <t>[2] Y3 PD-stress tolerance (PD multiplier where Y3 ROA = target)</t>
  </si>
  <si>
    <t>Target ROA Y3 (% of book)</t>
  </si>
  <si>
    <t>Below this Y3 ROA, the book stops earning enough to compound.</t>
  </si>
  <si>
    <t>Y3 baseline weighted yield (% of book)</t>
  </si>
  <si>
    <t>From row 11 above.</t>
  </si>
  <si>
    <t>Y3 OpEx (% of book)</t>
  </si>
  <si>
    <t>= opex_pct × Y3 multiplier (mature).</t>
  </si>
  <si>
    <t>Y3 NIM after COF (% of book)</t>
  </si>
  <si>
    <t>= weighted yield − COF.</t>
  </si>
  <si>
    <t>Baseline net loss rate at PD×1.0 (% of book)</t>
  </si>
  <si>
    <t>From row 12 above.</t>
  </si>
  <si>
    <t>Allowable loss rate at target ROA (% of book)</t>
  </si>
  <si>
    <t>= NIM − OpEx − ROA target. Loss budget.</t>
  </si>
  <si>
    <t>Implied PD multiplier</t>
  </si>
  <si>
    <t>Multiplier on all PDs that pushes Y3 ROA exactly to target. &gt;1 = headroom; &lt;1 = base case already breaches.</t>
  </si>
  <si>
    <t xml:space="preserve">  Equivalent to PD shift</t>
  </si>
  <si>
    <t xml:space="preserve">  vs Stress scenario (PD×1.8)</t>
  </si>
  <si>
    <t xml:space="preserve">  vs Downside scenario (PD×1.3)</t>
  </si>
  <si>
    <t>Vintage Cohorts · Cumulative loss curves M0–M24</t>
  </si>
  <si>
    <t>Each Y1/Y2/Y3 cohort treated as a closed-end origination. Lifetime loss = Σ(mix × tenor × PD × LGD)/365 of advanced principal. Timing: 30% by M6, 80% by M18, 100% by M24.</t>
  </si>
  <si>
    <t>Loss timing curve (cumulative % of lifetime loss)</t>
  </si>
  <si>
    <t>Milestone</t>
  </si>
  <si>
    <t>M6</t>
  </si>
  <si>
    <t>M12</t>
  </si>
  <si>
    <t>M18</t>
  </si>
  <si>
    <t>M24</t>
  </si>
  <si>
    <t>Cumulative %</t>
  </si>
  <si>
    <t>Lognormal: 30% in M0–6, 50% in M7–18, 20% in M19–24. Tail-heavier than retail; matches UAE SME workout norms.</t>
  </si>
  <si>
    <t>Period bucket</t>
  </si>
  <si>
    <t>M0–M6</t>
  </si>
  <si>
    <t>M7–M12</t>
  </si>
  <si>
    <t>M13–M18</t>
  </si>
  <si>
    <t>M19–M24</t>
  </si>
  <si>
    <t>Per-cohort lifetime loss (% of advanced principal)</t>
  </si>
  <si>
    <t>Cohort</t>
  </si>
  <si>
    <t>Disbursed (AED M)</t>
  </si>
  <si>
    <t>Advanced (AED M)</t>
  </si>
  <si>
    <t>Lifetime loss %</t>
  </si>
  <si>
    <t>Lifetime loss (AED M)</t>
  </si>
  <si>
    <t>Decomposition</t>
  </si>
  <si>
    <t>Y1 vintage</t>
  </si>
  <si>
    <t>= weighted PD×LGD scaled by tenor/365 (annualised → lifetime per cohort)</t>
  </si>
  <si>
    <t>Y2 vintage</t>
  </si>
  <si>
    <t>Same risk profile as Y1 (mix/PD/LGD unchanged)</t>
  </si>
  <si>
    <t>Y3 vintage</t>
  </si>
  <si>
    <t>Same risk profile as Y1</t>
  </si>
  <si>
    <t xml:space="preserve">  Total advanced (Y1+Y2+Y3)</t>
  </si>
  <si>
    <t xml:space="preserve">  Total lifetime loss</t>
  </si>
  <si>
    <t>Cumulative loss schedule (% of advanced principal)</t>
  </si>
  <si>
    <t>Months on book →</t>
  </si>
  <si>
    <t>M0</t>
  </si>
  <si>
    <t>M1</t>
  </si>
  <si>
    <t>M2</t>
  </si>
  <si>
    <t>M3</t>
  </si>
  <si>
    <t>M4</t>
  </si>
  <si>
    <t>M5</t>
  </si>
  <si>
    <t>M7</t>
  </si>
  <si>
    <t>M8</t>
  </si>
  <si>
    <t>M9</t>
  </si>
  <si>
    <t>M10</t>
  </si>
  <si>
    <t>M11</t>
  </si>
  <si>
    <t>M13</t>
  </si>
  <si>
    <t>M14</t>
  </si>
  <si>
    <t>M15</t>
  </si>
  <si>
    <t>M16</t>
  </si>
  <si>
    <t>M17</t>
  </si>
  <si>
    <t>M19</t>
  </si>
  <si>
    <t>M20</t>
  </si>
  <si>
    <t>M21</t>
  </si>
  <si>
    <t>M22</t>
  </si>
  <si>
    <t>M23</t>
  </si>
  <si>
    <t>Cumulative % of lifetime loss</t>
  </si>
  <si>
    <t>Y1 vintage cum loss %</t>
  </si>
  <si>
    <t>Y2 vintage cum loss %</t>
  </si>
  <si>
    <t>Y3 vintage cum loss %</t>
  </si>
  <si>
    <t>Y1 vintage cum loss (AED M)</t>
  </si>
  <si>
    <t>Y2 vintage cum loss (AED M)</t>
  </si>
  <si>
    <t>Y3 vintage cum loss (AED M)</t>
  </si>
  <si>
    <t>Portfolio cumulative loss (AED M)</t>
  </si>
  <si>
    <t>Live view of the canonical financial model. All figures recompute when Inputs / Risk Layer / Scenarios change.</t>
  </si>
  <si>
    <t>Y3 Disbursement</t>
  </si>
  <si>
    <t>Y5 Equity Required</t>
  </si>
  <si>
    <t>AED M (face)</t>
  </si>
  <si>
    <t>AED M (Tier-1 base)</t>
  </si>
  <si>
    <t>Chart data (do not delete)</t>
  </si>
  <si>
    <t>Disbursement by track (AED M, face value)</t>
  </si>
  <si>
    <t>Track</t>
  </si>
  <si>
    <t>P&amp;L margins (% of book)</t>
  </si>
  <si>
    <t>Metric</t>
  </si>
  <si>
    <t>NIM %</t>
  </si>
  <si>
    <t>Loss rate %</t>
  </si>
  <si>
    <t>OpEx %</t>
  </si>
  <si>
    <t>Net margin %</t>
  </si>
  <si>
    <t>Returns (% / % on equity)</t>
  </si>
  <si>
    <t>ROA</t>
  </si>
  <si>
    <t>RAROC</t>
  </si>
  <si>
    <t>Y3 Net Contribution sensitivity · Default rate × Cost of funds</t>
  </si>
  <si>
    <t>Live mirror of Sensitivity sheet · lilac = best, danger = worst</t>
  </si>
  <si>
    <t xml:space="preserve">Mal · Smart Invoice </t>
  </si>
  <si>
    <t>Pay-30 net loss rate (display)</t>
  </si>
  <si>
    <t>% of book</t>
  </si>
  <si>
    <t>Derived: PD×LGD×EAD. Authoritative source = Risk Layer.</t>
  </si>
  <si>
    <t>BNPL net loss rate (display)</t>
  </si>
  <si>
    <t>Term Extension net loss rate (display)</t>
  </si>
  <si>
    <t>(deprecated — was "Recovery %")</t>
  </si>
  <si>
    <t>Replaced by per-track LGDs on Risk Layer (25/45/65). Row kept as audit trail.</t>
  </si>
  <si>
    <t>(display only)</t>
  </si>
  <si>
    <t>Track A + Track B + Track C, five-year roll-up (Y1–Y5)</t>
  </si>
  <si>
    <t>Net margin (% of revenue)</t>
  </si>
  <si>
    <t>OpEx % of book (Y1–Y5 ramp)</t>
  </si>
  <si>
    <t>Sensitivity · Y3 Net Contribution (AED M) vs PD Multiplier × Cost of Funds</t>
  </si>
  <si>
    <t>Centre cell (1.0× PD, 6.5% COF) is the base case Y3 net contribution — ties to Combined P&amp;L.</t>
  </si>
  <si>
    <t>If centre is positive but 1.5× PD row goes negative → book is risk-rate-elastic, tighten underwriting before scaling.</t>
  </si>
  <si>
    <t>0.6× PD</t>
  </si>
  <si>
    <t>0.8× PD</t>
  </si>
  <si>
    <t>1.0× PD</t>
  </si>
  <si>
    <t>1.2× PD</t>
  </si>
  <si>
    <t>1.5× PD</t>
  </si>
  <si>
    <t>1.8× PD</t>
  </si>
  <si>
    <t>2.2× PD</t>
  </si>
  <si>
    <t>PD × → / COF ↓</t>
  </si>
  <si>
    <t>PD mult →</t>
  </si>
  <si>
    <t>Risk: PD×LGD×EAD framework</t>
  </si>
  <si>
    <t>Pay-30: PD 2.0%, LGD 25% (invoice collateral). BNPL: PD 4.0%, LGD 45%. Extension: PD 10.0%, LGD 65% (unsecured workout). EAD 100% (no undrawn). Net loss rate blended 2.6% on book. Source: Basel III IRB foundation; CBUAE FSR 2025 §3.4; Moody's UAE Banking 2026.</t>
  </si>
  <si>
    <t>4. Stress-test extension cohort PD at 15% (1.5× base of 10%) — CBUAE downturn-shock template.</t>
  </si>
  <si>
    <t>Tightened from 1.6 — prevents consumer-style pricing on SME book. Mashreq SCF / CBI Trade band 1.5-2.2%/mo; Mal floors below band on embedded-checkout convenience premium.</t>
  </si>
  <si>
    <t>Tightened from 1.8 — B2B BNPL UAE band 2.0-2.8%/mo; 1.5% reflects supplier-discount blend, embedded-platform play.</t>
  </si>
  <si>
    <t>Tightened from 12% — CBUAE Tier-1 floor 10.5% CET1 + 2.5% conservation = 13% standard; Mal at 14% adds 1-pt CRO management buffer.</t>
  </si>
  <si>
    <t>Reconciliation to Reported Earnings</t>
  </si>
  <si>
    <t>Walks operating Net contribution to post-tax return on equity. Adds CAC, compliance overhead, write-off true-up, and UAE CIT (9%).</t>
  </si>
  <si>
    <t>Operating Net contribution (from row 12)</t>
  </si>
  <si>
    <t>(−) Customer acquisition cost</t>
  </si>
  <si>
    <t>(−) Compliance &amp; regulatory overhead</t>
  </si>
  <si>
    <t>(−) Bad-debt write-off true-up</t>
  </si>
  <si>
    <t>Pre-tax income</t>
  </si>
  <si>
    <t>(−) UAE corporate tax (9%)</t>
  </si>
  <si>
    <t>Net income to equity</t>
  </si>
  <si>
    <t>Post-tax ROA (% of avg book)</t>
  </si>
  <si>
    <t>Post-tax RAROC (% on equity)</t>
  </si>
  <si>
    <t>Y3 Net Income</t>
  </si>
  <si>
    <t>AED M (post-tax)</t>
  </si>
  <si>
    <t>Y3 RAROC (post-tax)</t>
  </si>
  <si>
    <t>on equity</t>
  </si>
  <si>
    <t>Y1→Y5 Cum Net Income</t>
  </si>
  <si>
    <t>AED M (post-tax 5-yr)</t>
  </si>
  <si>
    <t>1.3%/mo</t>
  </si>
  <si>
    <t>Below market band intentionally — embedded-checkout convenience premium without consumer-style pricing on SME book. Mashreq SCF / CBI Trade band 1.5-2.2%.</t>
  </si>
  <si>
    <t>1.5%/mo</t>
  </si>
  <si>
    <t>Below band — supplier-discount blend reflects embedded-platform play vs standalone B2B BNPL. Tightened from 1.8% to make headline RAROC defensible.</t>
  </si>
  <si>
    <t>30–40%</t>
  </si>
  <si>
    <t>Tightened from 25% — Basel III IRB foundation 25% requires collateral perfection Mal won't have in Y1-Y3. Realistic UAE invoice-discount LGD 30-40% accounting for fraud, payor disputes, 90d collection lag.</t>
  </si>
  <si>
    <t>14% of book</t>
  </si>
  <si>
    <t>Tightened from 12% — CBUAE Reg 32/2013: 13% standard (10.5% CET1 + 2.5% conservation buffer). Mal at 14% adds 1-pt CRO management buffer above standard.</t>
  </si>
  <si>
    <t>7. RAROC defensibility check: post-tax RAROC must land in 18-30% band to clear UAE NBFC peer comparison and credit committee review. Operating RAROC pre-overhead-and-tax may be higher; show both.</t>
  </si>
  <si>
    <t>Discount fee (1.3%/mo)</t>
  </si>
  <si>
    <t>BNPL fee (1.5%/mo)</t>
  </si>
  <si>
    <t>Equity (14% of book)</t>
  </si>
  <si>
    <t>UAE SME factoring market: 1.5–3.0%/mo. Mashreq Trade, CBI Trade, ENBD Business Banking SCF: ~1.5–2.2%/mo. eFunder, Bridgr (UAE NBFC): 1.8–2.8%/mo. Mal at 1.3%/mo (15.6% APR) sits intentionally below market band — embedded-checkout convenience premium without consumer-style pricing on SME book. Source: FSRA NBFC pricing reviews; broker-dealer trade-finance schedules.</t>
  </si>
  <si>
    <t>Consumer BNPL (Tabby/Tamara/Postpay): 3.0–3.5%/mo flat to merchant. B2B BNPL (Sympl, ToYou Pay Later): 2.0–2.8%/mo. Mal at 1.5%/mo (18% APR) reflects supplier-discount blend embedded in checkout flow vs standalone B2B BNPL. Tightened from 1.8% to keep headline RAROC defensible. Source: company T&amp;Cs, MoF B2B BNPL guidelines 2025.</t>
  </si>
  <si>
    <t>CBUAE Capital Adequacy minimum: 10.5% CET1 + 2.5% conservation buffer = 13% Tier-1 standard. NBFCs: 10–15%. Mal at 14% adds 1-pt CRO management buffer above standard — 7.14× leverage vs 8.33× at 12% equity. Source: CBUAE Reg 32/2013 amended 2024; Basel III local implementation.</t>
  </si>
  <si>
    <t>Equity required (14% of book)</t>
  </si>
  <si>
    <t>Required equity = book × equity_pct (14%). RWA assumed 100% (Basel III standardised, NBFC unsecured → unrated SME).</t>
  </si>
  <si>
    <t>= book × equity_pct (14%). CBUAE Reg 32/2013 + 1-pt CRO management buffer above 13% standard.</t>
  </si>
  <si>
    <t>Mashreq / ENBD / FAB SCF lines. EIBOR + 150 bps. Senior share rebalanced to 76% (was 78%) so tranches sum to 100% with equity at 14%.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</si>
</sst>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"/>
    <numFmt numFmtId="165" formatCode="#,##0.0;\(#,##0.0\);&quot;-&quot;"/>
    <numFmt numFmtId="166" formatCode="0.0&quot;%&quot;"/>
    <numFmt numFmtId="167" formatCode="0.00&quot;%&quot;"/>
    <numFmt numFmtId="168" formatCode="yyyy\-mm\-dd"/>
    <numFmt numFmtId="169" formatCode="0.0%;\(0.0%\);&quot;-&quot;"/>
    <numFmt numFmtId="170" formatCode="0.0%"/>
    <numFmt numFmtId="171" formatCode="0&quot; bps&quot;"/>
    <numFmt numFmtId="172" formatCode="\+0&quot; bps&quot;;\-0&quot; bps&quot;;&quot;flat&quot;"/>
    <numFmt numFmtId="173" formatCode="0.000"/>
    <numFmt numFmtId="174" formatCode="0.00&quot;×&quot;"/>
    <numFmt numFmtId="175" formatCode="#,##0&quot; M&quot;"/>
    <numFmt numFmtId="176" formatCode="#,##0.0&quot; M&quot;"/>
    <numFmt numFmtId="177" formatCode="0.0&quot;%&quot;;\(0.0&quot;%&quot;\);&quot;-&quot;"/>
  </numFmts>
  <fonts count="41">
    <font>
      <sz val="11"/>
      <color theme="1"/>
      <name val="Calibri"/>
      <family val="2"/>
      <scheme val="minor"/>
    </font>
    <font>
      <b/>
      <sz val="18"/>
      <color rgb="FF0A0A0A"/>
      <name val="Inter"/>
    </font>
    <font>
      <b/>
      <sz val="11"/>
      <color rgb="FF0A0A0A"/>
      <name val="Inter"/>
    </font>
    <font>
      <sz val="10"/>
      <color rgb="FF0A0A0A"/>
      <name val="Inter"/>
    </font>
    <font>
      <b/>
      <sz val="10"/>
      <color rgb="FFFFFFFF"/>
      <name val="Inter"/>
    </font>
    <font>
      <b/>
      <sz val="10"/>
      <color rgb="FF1A1A28"/>
      <name val="Inter"/>
    </font>
    <font>
      <b/>
      <sz val="10"/>
      <color rgb="FF0A0A0A"/>
      <name val="Inter"/>
    </font>
    <font>
      <b/>
      <sz val="13"/>
      <color rgb="FF0A0A0A"/>
      <name val="Inter"/>
    </font>
    <font>
      <b/>
      <sz val="12"/>
      <color theme="1"/>
      <name val="Calibri"/>
      <family val="2"/>
      <scheme val="minor"/>
    </font>
    <font>
      <sz val="8"/>
      <color rgb="FF999999"/>
      <name val="Calibri"/>
      <family val="2"/>
      <scheme val="minor"/>
    </font>
    <font>
      <b/>
      <sz val="8"/>
      <color rgb="FF999999"/>
      <name val="Inte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88888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0000FF"/>
      <name val="Calibri"/>
      <family val="2"/>
      <scheme val="minor"/>
    </font>
    <font>
      <b/>
      <sz val="16"/>
      <color rgb="FF1A1A28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8"/>
      <color rgb="FF1A1A28"/>
      <name val="Calibri"/>
      <family val="2"/>
      <scheme val="minor"/>
    </font>
    <font>
      <i/>
      <sz val="8"/>
      <color rgb="FF595959"/>
      <name val="Calibri"/>
      <family val="2"/>
      <scheme val="minor"/>
    </font>
    <font>
      <b/>
      <sz val="11"/>
      <color rgb="FF1A1A28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BFBFBF"/>
      <name val="Calibri"/>
      <family val="2"/>
      <scheme val="minor"/>
    </font>
    <font>
      <b/>
      <sz val="10"/>
      <color rgb="FF7F7F7F"/>
      <name val="Inter"/>
    </font>
    <font>
      <i/>
      <sz val="9"/>
      <color rgb="FF7F7F7F"/>
      <name val="Inter"/>
    </font>
    <font>
      <i/>
      <sz val="10"/>
      <color rgb="FF747474"/>
      <name val="Inter"/>
    </font>
    <font>
      <i/>
      <sz val="9"/>
      <color rgb="FF747474"/>
      <name val="Inter"/>
    </font>
    <font>
      <sz val="11"/>
      <color rgb="FF747474"/>
      <name val="Calibri"/>
      <family val="2"/>
      <scheme val="minor"/>
    </font>
    <font>
      <i/>
      <sz val="11"/>
      <color rgb="FF747474"/>
      <name val="Calibri"/>
      <family val="2"/>
      <scheme val="minor"/>
    </font>
    <font>
      <b/>
      <i/>
      <sz val="8"/>
      <color rgb="FF747474"/>
      <name val="Calibri"/>
      <family val="2"/>
      <scheme val="minor"/>
    </font>
    <font>
      <sz val="8"/>
      <color rgb="FF747474"/>
      <name val="Calibri"/>
      <family val="2"/>
      <scheme val="minor"/>
    </font>
    <font>
      <b/>
      <sz val="8"/>
      <color rgb="FF747474"/>
      <name val="Calibri"/>
      <family val="2"/>
      <scheme val="minor"/>
    </font>
    <font>
      <i/>
      <sz val="9"/>
      <color rgb="FF797364"/>
      <name val="Inter"/>
    </font>
    <font>
      <sz val="11"/>
      <color rgb="FF797364"/>
      <name val="Calibri"/>
      <family val="2"/>
      <scheme val="minor"/>
    </font>
    <font>
      <b/>
      <sz val="12"/>
      <color rgb="FFFFFFFF"/>
      <name val="Inter"/>
    </font>
    <font>
      <i/>
      <sz val="10"/>
      <color rgb="FF595959"/>
      <name val="Inter"/>
    </font>
  </fonts>
  <fills count="17">
    <fill>
      <patternFill patternType="none"/>
    </fill>
    <fill>
      <patternFill patternType="gray125"/>
    </fill>
    <fill>
      <patternFill patternType="solid">
        <fgColor rgb="FF1A1A28"/>
      </patternFill>
    </fill>
    <fill>
      <patternFill patternType="solid">
        <fgColor rgb="FFF4EFE2"/>
      </patternFill>
    </fill>
    <fill>
      <patternFill patternType="solid">
        <fgColor rgb="FFF0E8FB"/>
      </patternFill>
    </fill>
    <fill>
      <patternFill patternType="solid">
        <fgColor rgb="FFFAF7EE"/>
      </patternFill>
    </fill>
    <fill>
      <patternFill patternType="solid">
        <fgColor rgb="FFE8F0E0"/>
      </patternFill>
    </fill>
    <fill>
      <patternFill patternType="solid">
        <fgColor rgb="FFF0E8FB"/>
        <bgColor indexed="64"/>
      </patternFill>
    </fill>
    <fill>
      <patternFill patternType="solid">
        <fgColor rgb="FF1A1A28"/>
        <bgColor indexed="64"/>
      </patternFill>
    </fill>
    <fill>
      <patternFill patternType="solid">
        <fgColor rgb="FFFAF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F0E0"/>
        <bgColor indexed="64"/>
      </patternFill>
    </fill>
    <fill>
      <patternFill patternType="solid">
        <fgColor rgb="FFF4EFF6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C9B7E8"/>
        <bgColor indexed="64"/>
      </patternFill>
    </fill>
    <fill>
      <patternFill patternType="solid">
        <fgColor rgb="FFA8C09A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A1A28"/>
      </left>
      <right style="thick">
        <color rgb="FF1A1A28"/>
      </right>
      <top style="thick">
        <color rgb="FF1A1A28"/>
      </top>
      <bottom style="thick">
        <color rgb="FF1A1A28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/>
    <xf numFmtId="0" fontId="0" fillId="3" borderId="0" xfId="0" applyFill="1"/>
    <xf numFmtId="3" fontId="5" fillId="4" borderId="0" xfId="0" applyNumberFormat="1" applyFont="1" applyFill="1" applyAlignment="1">
      <alignment horizontal="right"/>
    </xf>
    <xf numFmtId="4" fontId="6" fillId="5" borderId="0" xfId="0" applyNumberFormat="1" applyFont="1" applyFill="1" applyAlignment="1">
      <alignment horizontal="right"/>
    </xf>
    <xf numFmtId="4" fontId="6" fillId="6" borderId="0" xfId="0" applyNumberFormat="1" applyFont="1" applyFill="1" applyAlignment="1">
      <alignment horizontal="right"/>
    </xf>
    <xf numFmtId="2" fontId="6" fillId="6" borderId="0" xfId="0" applyNumberFormat="1" applyFont="1" applyFill="1" applyAlignment="1">
      <alignment horizontal="right"/>
    </xf>
    <xf numFmtId="4" fontId="6" fillId="6" borderId="0" xfId="0" applyNumberFormat="1" applyFont="1" applyFill="1"/>
    <xf numFmtId="164" fontId="0" fillId="0" borderId="0" xfId="0" applyNumberFormat="1" applyAlignment="1">
      <alignment horizontal="right"/>
    </xf>
    <xf numFmtId="0" fontId="2" fillId="0" borderId="0" xfId="0" applyFont="1" applyAlignment="1">
      <alignment vertical="top" wrapText="1"/>
    </xf>
    <xf numFmtId="0" fontId="7" fillId="0" borderId="0" xfId="0" applyFont="1"/>
    <xf numFmtId="0" fontId="9" fillId="0" borderId="0" xfId="0" applyFont="1"/>
    <xf numFmtId="0" fontId="10" fillId="0" borderId="0" xfId="0" applyFont="1"/>
    <xf numFmtId="165" fontId="6" fillId="5" borderId="0" xfId="0" applyNumberFormat="1" applyFont="1" applyFill="1" applyAlignment="1">
      <alignment horizontal="right"/>
    </xf>
    <xf numFmtId="165" fontId="0" fillId="0" borderId="0" xfId="0" applyNumberFormat="1"/>
    <xf numFmtId="165" fontId="6" fillId="6" borderId="0" xfId="0" applyNumberFormat="1" applyFont="1" applyFill="1" applyAlignment="1">
      <alignment horizontal="right"/>
    </xf>
    <xf numFmtId="166" fontId="6" fillId="5" borderId="0" xfId="0" applyNumberFormat="1" applyFont="1" applyFill="1" applyAlignment="1">
      <alignment horizontal="right"/>
    </xf>
    <xf numFmtId="166" fontId="0" fillId="0" borderId="0" xfId="0" applyNumberFormat="1"/>
    <xf numFmtId="167" fontId="0" fillId="0" borderId="0" xfId="0" applyNumberFormat="1"/>
    <xf numFmtId="165" fontId="3" fillId="5" borderId="0" xfId="0" applyNumberFormat="1" applyFont="1" applyFill="1"/>
    <xf numFmtId="165" fontId="6" fillId="5" borderId="0" xfId="0" applyNumberFormat="1" applyFont="1" applyFill="1"/>
    <xf numFmtId="166" fontId="6" fillId="6" borderId="0" xfId="0" applyNumberFormat="1" applyFont="1" applyFill="1"/>
    <xf numFmtId="165" fontId="6" fillId="6" borderId="0" xfId="0" applyNumberFormat="1" applyFont="1" applyFill="1"/>
    <xf numFmtId="166" fontId="3" fillId="5" borderId="0" xfId="0" applyNumberFormat="1" applyFont="1" applyFill="1"/>
    <xf numFmtId="167" fontId="6" fillId="6" borderId="0" xfId="0" applyNumberFormat="1" applyFont="1" applyFill="1"/>
    <xf numFmtId="165" fontId="0" fillId="0" borderId="0" xfId="0" applyNumberFormat="1" applyAlignment="1">
      <alignment horizontal="right"/>
    </xf>
    <xf numFmtId="3" fontId="5" fillId="4" borderId="7" xfId="0" applyNumberFormat="1" applyFont="1" applyFill="1" applyBorder="1" applyAlignment="1">
      <alignment horizontal="right"/>
    </xf>
    <xf numFmtId="0" fontId="0" fillId="3" borderId="7" xfId="0" applyFill="1" applyBorder="1"/>
    <xf numFmtId="2" fontId="5" fillId="4" borderId="7" xfId="0" applyNumberFormat="1" applyFont="1" applyFill="1" applyBorder="1" applyAlignment="1">
      <alignment horizontal="right"/>
    </xf>
    <xf numFmtId="1" fontId="5" fillId="4" borderId="7" xfId="0" applyNumberFormat="1" applyFont="1" applyFill="1" applyBorder="1" applyAlignment="1">
      <alignment horizontal="right"/>
    </xf>
    <xf numFmtId="168" fontId="3" fillId="0" borderId="0" xfId="0" applyNumberFormat="1" applyFont="1" applyAlignment="1">
      <alignment vertical="top" wrapText="1"/>
    </xf>
    <xf numFmtId="0" fontId="6" fillId="0" borderId="0" xfId="0" applyFont="1"/>
    <xf numFmtId="0" fontId="3" fillId="0" borderId="0" xfId="0" applyFont="1" applyFill="1" applyBorder="1"/>
    <xf numFmtId="3" fontId="5" fillId="7" borderId="7" xfId="0" applyNumberFormat="1" applyFont="1" applyFill="1" applyBorder="1" applyAlignment="1">
      <alignment horizontal="right"/>
    </xf>
    <xf numFmtId="0" fontId="4" fillId="8" borderId="0" xfId="0" applyFont="1" applyFill="1" applyAlignment="1">
      <alignment horizontal="left" vertical="center"/>
    </xf>
    <xf numFmtId="4" fontId="6" fillId="9" borderId="0" xfId="0" applyNumberFormat="1" applyFont="1" applyFill="1" applyAlignment="1">
      <alignment horizontal="right"/>
    </xf>
    <xf numFmtId="165" fontId="6" fillId="9" borderId="0" xfId="0" applyNumberFormat="1" applyFont="1" applyFill="1" applyAlignment="1">
      <alignment horizontal="right"/>
    </xf>
    <xf numFmtId="0" fontId="8" fillId="0" borderId="0" xfId="0" applyFont="1"/>
    <xf numFmtId="0" fontId="11" fillId="0" borderId="0" xfId="0" applyFont="1"/>
    <xf numFmtId="0" fontId="12" fillId="0" borderId="0" xfId="0" applyFont="1"/>
    <xf numFmtId="0" fontId="12" fillId="10" borderId="0" xfId="0" applyFont="1" applyFill="1"/>
    <xf numFmtId="0" fontId="0" fillId="0" borderId="0" xfId="0" quotePrefix="1"/>
    <xf numFmtId="169" fontId="0" fillId="0" borderId="0" xfId="0" applyNumberFormat="1"/>
    <xf numFmtId="170" fontId="0" fillId="0" borderId="0" xfId="0" applyNumberFormat="1"/>
    <xf numFmtId="165" fontId="12" fillId="0" borderId="0" xfId="0" applyNumberFormat="1" applyFont="1"/>
    <xf numFmtId="170" fontId="12" fillId="0" borderId="0" xfId="0" applyNumberFormat="1" applyFont="1"/>
    <xf numFmtId="165" fontId="12" fillId="11" borderId="0" xfId="0" applyNumberFormat="1" applyFont="1" applyFill="1"/>
    <xf numFmtId="0" fontId="15" fillId="0" borderId="0" xfId="0" applyFont="1"/>
    <xf numFmtId="0" fontId="12" fillId="11" borderId="0" xfId="0" applyFont="1" applyFill="1"/>
    <xf numFmtId="0" fontId="14" fillId="11" borderId="0" xfId="0" applyFont="1" applyFill="1"/>
    <xf numFmtId="0" fontId="12" fillId="13" borderId="0" xfId="0" applyFont="1" applyFill="1"/>
    <xf numFmtId="166" fontId="14" fillId="13" borderId="0" xfId="0" applyNumberFormat="1" applyFont="1" applyFill="1"/>
    <xf numFmtId="167" fontId="0" fillId="11" borderId="0" xfId="0" applyNumberFormat="1" applyFill="1"/>
    <xf numFmtId="167" fontId="0" fillId="13" borderId="0" xfId="0" applyNumberFormat="1" applyFill="1"/>
    <xf numFmtId="166" fontId="13" fillId="12" borderId="0" xfId="0" applyNumberFormat="1" applyFont="1" applyFill="1" applyBorder="1"/>
    <xf numFmtId="166" fontId="13" fillId="12" borderId="7" xfId="0" applyNumberFormat="1" applyFont="1" applyFill="1" applyBorder="1"/>
    <xf numFmtId="9" fontId="3" fillId="0" borderId="0" xfId="0" applyNumberFormat="1" applyFont="1" applyAlignment="1">
      <alignment vertical="top" wrapText="1"/>
    </xf>
    <xf numFmtId="170" fontId="3" fillId="0" borderId="0" xfId="0" applyNumberFormat="1" applyFont="1" applyAlignment="1">
      <alignment vertical="top" wrapText="1"/>
    </xf>
    <xf numFmtId="165" fontId="13" fillId="12" borderId="0" xfId="0" applyNumberFormat="1" applyFont="1" applyFill="1"/>
    <xf numFmtId="170" fontId="13" fillId="12" borderId="0" xfId="0" applyNumberFormat="1" applyFont="1" applyFill="1"/>
    <xf numFmtId="10" fontId="13" fillId="12" borderId="0" xfId="0" applyNumberFormat="1" applyFont="1" applyFill="1"/>
    <xf numFmtId="10" fontId="0" fillId="0" borderId="0" xfId="0" applyNumberFormat="1"/>
    <xf numFmtId="171" fontId="13" fillId="12" borderId="0" xfId="0" applyNumberFormat="1" applyFont="1" applyFill="1"/>
    <xf numFmtId="167" fontId="12" fillId="11" borderId="0" xfId="0" applyNumberFormat="1" applyFont="1" applyFill="1"/>
    <xf numFmtId="172" fontId="0" fillId="0" borderId="0" xfId="0" applyNumberFormat="1"/>
    <xf numFmtId="0" fontId="18" fillId="12" borderId="0" xfId="0" applyFont="1" applyFill="1"/>
    <xf numFmtId="0" fontId="0" fillId="0" borderId="0" xfId="0" applyBorder="1"/>
    <xf numFmtId="165" fontId="0" fillId="0" borderId="0" xfId="0" applyNumberFormat="1" applyBorder="1"/>
    <xf numFmtId="166" fontId="0" fillId="0" borderId="0" xfId="0" applyNumberFormat="1" applyBorder="1"/>
    <xf numFmtId="0" fontId="0" fillId="0" borderId="2" xfId="0" applyBorder="1"/>
    <xf numFmtId="0" fontId="12" fillId="10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12" fillId="10" borderId="7" xfId="0" applyFont="1" applyFill="1" applyBorder="1"/>
    <xf numFmtId="0" fontId="12" fillId="11" borderId="7" xfId="0" applyFont="1" applyFill="1" applyBorder="1"/>
    <xf numFmtId="0" fontId="12" fillId="13" borderId="7" xfId="0" applyFont="1" applyFill="1" applyBorder="1"/>
    <xf numFmtId="0" fontId="12" fillId="14" borderId="7" xfId="0" applyFont="1" applyFill="1" applyBorder="1"/>
    <xf numFmtId="0" fontId="0" fillId="0" borderId="7" xfId="0" applyBorder="1"/>
    <xf numFmtId="165" fontId="0" fillId="0" borderId="7" xfId="0" applyNumberFormat="1" applyBorder="1"/>
    <xf numFmtId="166" fontId="0" fillId="0" borderId="7" xfId="0" applyNumberFormat="1" applyBorder="1"/>
    <xf numFmtId="0" fontId="12" fillId="0" borderId="0" xfId="0" applyFont="1" applyBorder="1"/>
    <xf numFmtId="165" fontId="12" fillId="11" borderId="0" xfId="0" applyNumberFormat="1" applyFont="1" applyFill="1" applyBorder="1"/>
    <xf numFmtId="0" fontId="12" fillId="0" borderId="5" xfId="0" applyFont="1" applyBorder="1"/>
    <xf numFmtId="0" fontId="12" fillId="11" borderId="5" xfId="0" applyFont="1" applyFill="1" applyBorder="1"/>
    <xf numFmtId="165" fontId="0" fillId="0" borderId="13" xfId="0" applyNumberFormat="1" applyBorder="1"/>
    <xf numFmtId="0" fontId="12" fillId="0" borderId="7" xfId="0" applyFont="1" applyBorder="1"/>
    <xf numFmtId="165" fontId="12" fillId="0" borderId="7" xfId="0" applyNumberFormat="1" applyFont="1" applyBorder="1"/>
    <xf numFmtId="165" fontId="12" fillId="11" borderId="7" xfId="0" applyNumberFormat="1" applyFont="1" applyFill="1" applyBorder="1"/>
    <xf numFmtId="170" fontId="12" fillId="0" borderId="7" xfId="0" applyNumberFormat="1" applyFont="1" applyBorder="1"/>
    <xf numFmtId="170" fontId="0" fillId="0" borderId="7" xfId="0" applyNumberFormat="1" applyBorder="1"/>
    <xf numFmtId="0" fontId="0" fillId="12" borderId="0" xfId="0" applyFill="1"/>
    <xf numFmtId="165" fontId="13" fillId="12" borderId="0" xfId="0" applyNumberFormat="1" applyFont="1" applyFill="1" applyBorder="1"/>
    <xf numFmtId="173" fontId="0" fillId="0" borderId="0" xfId="0" applyNumberFormat="1" applyBorder="1"/>
    <xf numFmtId="0" fontId="0" fillId="0" borderId="0" xfId="0" quotePrefix="1" applyBorder="1"/>
    <xf numFmtId="0" fontId="0" fillId="0" borderId="1" xfId="0" applyBorder="1"/>
    <xf numFmtId="0" fontId="0" fillId="12" borderId="5" xfId="0" applyFill="1" applyBorder="1"/>
    <xf numFmtId="0" fontId="12" fillId="10" borderId="5" xfId="0" applyFont="1" applyFill="1" applyBorder="1"/>
    <xf numFmtId="0" fontId="0" fillId="0" borderId="10" xfId="0" applyBorder="1"/>
    <xf numFmtId="0" fontId="12" fillId="0" borderId="11" xfId="0" applyFont="1" applyBorder="1"/>
    <xf numFmtId="166" fontId="0" fillId="0" borderId="11" xfId="0" applyNumberFormat="1" applyBorder="1"/>
    <xf numFmtId="174" fontId="12" fillId="11" borderId="0" xfId="0" applyNumberFormat="1" applyFont="1" applyFill="1" applyBorder="1"/>
    <xf numFmtId="165" fontId="0" fillId="11" borderId="0" xfId="0" applyNumberFormat="1" applyFill="1"/>
    <xf numFmtId="0" fontId="19" fillId="0" borderId="0" xfId="0" applyFont="1"/>
    <xf numFmtId="0" fontId="20" fillId="0" borderId="0" xfId="0" applyFont="1"/>
    <xf numFmtId="0" fontId="21" fillId="8" borderId="0" xfId="0" applyFont="1" applyFill="1" applyAlignment="1">
      <alignment horizontal="center"/>
    </xf>
    <xf numFmtId="0" fontId="0" fillId="8" borderId="0" xfId="0" applyFill="1"/>
    <xf numFmtId="175" fontId="22" fillId="15" borderId="0" xfId="0" applyNumberFormat="1" applyFont="1" applyFill="1" applyAlignment="1">
      <alignment horizontal="center"/>
    </xf>
    <xf numFmtId="0" fontId="0" fillId="15" borderId="0" xfId="0" applyFill="1"/>
    <xf numFmtId="176" fontId="22" fillId="16" borderId="0" xfId="0" applyNumberFormat="1" applyFont="1" applyFill="1" applyAlignment="1">
      <alignment horizontal="center"/>
    </xf>
    <xf numFmtId="0" fontId="0" fillId="16" borderId="0" xfId="0" applyFill="1"/>
    <xf numFmtId="166" fontId="22" fillId="16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8" borderId="7" xfId="0" applyFont="1" applyFill="1" applyBorder="1"/>
    <xf numFmtId="0" fontId="27" fillId="0" borderId="0" xfId="0" applyFont="1"/>
    <xf numFmtId="165" fontId="0" fillId="0" borderId="3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5" fontId="12" fillId="0" borderId="14" xfId="0" applyNumberFormat="1" applyFont="1" applyBorder="1"/>
    <xf numFmtId="2" fontId="28" fillId="4" borderId="7" xfId="0" applyNumberFormat="1" applyFont="1" applyFill="1" applyBorder="1" applyAlignment="1">
      <alignment horizontal="right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0" xfId="0" applyFont="1" applyAlignment="1">
      <alignment vertical="top" wrapText="1"/>
    </xf>
    <xf numFmtId="10" fontId="32" fillId="0" borderId="0" xfId="0" applyNumberFormat="1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7" fillId="0" borderId="0" xfId="0" applyFont="1" applyAlignment="1">
      <alignment vertical="top" wrapText="1"/>
    </xf>
    <xf numFmtId="0" fontId="37" fillId="0" borderId="0" xfId="0" applyFont="1" applyFill="1" applyBorder="1"/>
    <xf numFmtId="165" fontId="37" fillId="0" borderId="0" xfId="0" applyNumberFormat="1" applyFont="1"/>
    <xf numFmtId="166" fontId="37" fillId="0" borderId="0" xfId="0" applyNumberFormat="1" applyFont="1"/>
    <xf numFmtId="167" fontId="37" fillId="0" borderId="0" xfId="0" applyNumberFormat="1" applyFont="1"/>
    <xf numFmtId="0" fontId="37" fillId="0" borderId="0" xfId="0" applyFont="1" applyAlignment="1">
      <alignment vertical="top" wrapText="1"/>
    </xf>
    <xf numFmtId="0" fontId="38" fillId="0" borderId="0" xfId="0" applyFont="1"/>
    <xf numFmtId="0" fontId="39" fillId="8" borderId="0" xfId="0" applyFont="1" applyFill="1"/>
    <xf numFmtId="0" fontId="40" fillId="0" borderId="0" xfId="0" applyFont="1"/>
    <xf numFmtId="165" fontId="12" fillId="10" borderId="0" xfId="0" applyNumberFormat="1" applyFont="1" applyFill="1"/>
    <xf numFmtId="177" fontId="0" fillId="0" borderId="0" xfId="0" applyNumberFormat="1"/>
    <xf numFmtId="177" fontId="12" fillId="11" borderId="0" xfId="0" applyNumberFormat="1" applyFont="1" applyFill="1"/>
  </cellXfs>
  <cellStyles count="1">
    <cellStyle name="Normal" xfId="0" builtinId="0"/>
  </cellStyles>
  <dxfs count="2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9C5700"/>
      </font>
    </dxf>
    <dxf>
      <font>
        <b/>
        <i val="0"/>
        <color rgb="FF006100"/>
      </font>
    </dxf>
    <dxf>
      <font>
        <b/>
        <i val="0"/>
        <color rgb="FFC00000"/>
      </font>
    </dxf>
    <dxf>
      <font>
        <b/>
        <i val="0"/>
        <color rgb="FF9C5700"/>
      </font>
    </dxf>
    <dxf>
      <font>
        <b/>
        <i val="0"/>
        <color rgb="FF006100"/>
      </font>
    </dxf>
    <dxf>
      <font>
        <b/>
        <i val="0"/>
        <color rgb="FFC00000"/>
      </font>
    </dxf>
    <dxf>
      <font>
        <b/>
        <i val="0"/>
        <color rgb="FF9C5700"/>
      </font>
    </dxf>
    <dxf>
      <font>
        <b/>
        <i val="0"/>
        <color rgb="FF006100"/>
      </font>
    </dxf>
    <dxf>
      <font>
        <b/>
        <i val="0"/>
        <color rgb="FFC00000"/>
      </font>
    </dxf>
    <dxf>
      <font>
        <b/>
        <i val="0"/>
        <color rgb="FF9C5700"/>
      </font>
    </dxf>
    <dxf>
      <font>
        <color rgb="FF006100"/>
      </font>
    </dxf>
    <dxf>
      <font>
        <b/>
        <i val="0"/>
        <color rgb="FFC00000"/>
      </font>
    </dxf>
    <dxf>
      <font>
        <b/>
        <i val="0"/>
        <color rgb="FF006100"/>
      </font>
    </dxf>
    <dxf>
      <font>
        <b/>
        <i val="0"/>
        <color rgb="FFC00000"/>
      </font>
    </dxf>
    <dxf>
      <font>
        <b/>
        <i val="0"/>
        <color rgb="FF006100"/>
      </font>
    </dxf>
    <dxf>
      <font>
        <b/>
        <i val="0"/>
        <color rgb="FFC00000"/>
      </font>
    </dxf>
    <dxf>
      <font>
        <b/>
        <i val="0"/>
        <color rgb="FF006100"/>
      </font>
    </dxf>
    <dxf>
      <font>
        <b/>
        <i val="0"/>
        <color rgb="FFC00000"/>
      </font>
    </dxf>
    <dxf>
      <font>
        <b/>
        <i val="0"/>
        <color rgb="FF006100"/>
      </font>
    </dxf>
    <dxf>
      <font>
        <b/>
        <i val="0"/>
        <color rgb="FFC00000"/>
      </font>
    </dxf>
    <dxf>
      <font>
        <b/>
        <i val="0"/>
        <color rgb="FFC00000"/>
      </font>
      <fill>
        <patternFill patternType="solid">
          <fgColor indexed="64"/>
          <bgColor rgb="FFFF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Disbursement by track (AED M, face value)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Dashboard!$A$44</c:f>
              <c:strCache>
                <c:ptCount val="1"/>
                <c:pt idx="0">
                  <c:v>Pay-30</c:v>
                </c:pt>
              </c:strCache>
            </c:strRef>
          </c:tx>
          <c:spPr>
            <a:solidFill>
              <a:srgbClr val="C9B7E8"/>
            </a:solidFill>
            <a:ln>
              <a:noFill/>
            </a:ln>
            <a:effectLst/>
          </c:spPr>
          <c:invertIfNegative val="0"/>
          <c:cat>
            <c:strRef>
              <c:f>Dashboard!$B$43:$F$43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Dashboard!$B$44:$F$44</c:f>
              <c:numCache>
                <c:formatCode>General</c:formatCode>
                <c:ptCount val="5"/>
                <c:pt idx="0">
                  <c:v>100</c:v>
                </c:pt>
                <c:pt idx="1">
                  <c:v>600</c:v>
                </c:pt>
                <c:pt idx="2">
                  <c:v>1600</c:v>
                </c:pt>
                <c:pt idx="3">
                  <c:v>3200</c:v>
                </c:pt>
                <c:pt idx="4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0-5849-8D0D-818C4DC5FA13}"/>
            </c:ext>
          </c:extLst>
        </c:ser>
        <c:ser>
          <c:idx val="1"/>
          <c:order val="1"/>
          <c:tx>
            <c:strRef>
              <c:f>Dashboard!$A$45</c:f>
              <c:strCache>
                <c:ptCount val="1"/>
                <c:pt idx="0">
                  <c:v>BNPL</c:v>
                </c:pt>
              </c:strCache>
            </c:strRef>
          </c:tx>
          <c:spPr>
            <a:solidFill>
              <a:srgbClr val="9C7CD8"/>
            </a:solidFill>
            <a:ln>
              <a:noFill/>
            </a:ln>
            <a:effectLst/>
          </c:spPr>
          <c:invertIfNegative val="0"/>
          <c:cat>
            <c:strRef>
              <c:f>Dashboard!$B$43:$F$43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Dashboard!$B$45:$F$45</c:f>
              <c:numCache>
                <c:formatCode>General</c:formatCode>
                <c:ptCount val="5"/>
                <c:pt idx="0">
                  <c:v>125</c:v>
                </c:pt>
                <c:pt idx="1">
                  <c:v>750</c:v>
                </c:pt>
                <c:pt idx="2">
                  <c:v>2000</c:v>
                </c:pt>
                <c:pt idx="3">
                  <c:v>4000</c:v>
                </c:pt>
                <c:pt idx="4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60-5849-8D0D-818C4DC5FA13}"/>
            </c:ext>
          </c:extLst>
        </c:ser>
        <c:ser>
          <c:idx val="2"/>
          <c:order val="2"/>
          <c:tx>
            <c:strRef>
              <c:f>Dashboard!$A$46</c:f>
              <c:strCache>
                <c:ptCount val="1"/>
                <c:pt idx="0">
                  <c:v>Term Extension</c:v>
                </c:pt>
              </c:strCache>
            </c:strRef>
          </c:tx>
          <c:spPr>
            <a:solidFill>
              <a:srgbClr val="1A1A28"/>
            </a:solidFill>
            <a:ln>
              <a:noFill/>
            </a:ln>
            <a:effectLst/>
          </c:spPr>
          <c:invertIfNegative val="0"/>
          <c:cat>
            <c:strRef>
              <c:f>Dashboard!$B$43:$F$43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Dashboard!$B$46:$F$46</c:f>
              <c:numCache>
                <c:formatCode>General</c:formatCode>
                <c:ptCount val="5"/>
                <c:pt idx="0">
                  <c:v>25</c:v>
                </c:pt>
                <c:pt idx="1">
                  <c:v>150</c:v>
                </c:pt>
                <c:pt idx="2">
                  <c:v>400</c:v>
                </c:pt>
                <c:pt idx="3">
                  <c:v>800</c:v>
                </c:pt>
                <c:pt idx="4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60-5849-8D0D-818C4DC5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7674431"/>
        <c:axId val="217398143"/>
      </c:barChart>
      <c:catAx>
        <c:axId val="2176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398143"/>
        <c:crosses val="autoZero"/>
        <c:auto val="1"/>
        <c:lblAlgn val="ctr"/>
        <c:lblOffset val="100"/>
        <c:noMultiLvlLbl val="0"/>
      </c:catAx>
      <c:valAx>
        <c:axId val="21739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7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margins (% of book)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Dashboard!$A$50</c:f>
              <c:strCache>
                <c:ptCount val="1"/>
                <c:pt idx="0">
                  <c:v>NIM %</c:v>
                </c:pt>
              </c:strCache>
            </c:strRef>
          </c:tx>
          <c:spPr>
            <a:ln w="28575" cap="rnd">
              <a:solidFill>
                <a:srgbClr val="1A1A2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Dashboard!$B$49:$F$49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Dashboard!$B$50:$F$50</c:f>
              <c:numCache>
                <c:formatCode>General</c:formatCode>
                <c:ptCount val="5"/>
                <c:pt idx="0">
                  <c:v>10.714545454545455</c:v>
                </c:pt>
                <c:pt idx="1">
                  <c:v>10.714545454545453</c:v>
                </c:pt>
                <c:pt idx="2">
                  <c:v>10.714545454545455</c:v>
                </c:pt>
                <c:pt idx="3">
                  <c:v>10.714545454545455</c:v>
                </c:pt>
                <c:pt idx="4">
                  <c:v>10.714545454545455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4-8541-9E37-5F9923D208E9}"/>
            </c:ext>
          </c:extLst>
        </c:ser>
        <c:ser>
          <c:idx val="1"/>
          <c:order val="1"/>
          <c:tx>
            <c:strRef>
              <c:f>Dashboard!$A$51</c:f>
              <c:strCache>
                <c:ptCount val="1"/>
                <c:pt idx="0">
                  <c:v>Loss rate %</c:v>
                </c:pt>
              </c:strCache>
            </c:strRef>
          </c:tx>
          <c:spPr>
            <a:ln w="28575" cap="rnd">
              <a:solidFill>
                <a:srgbClr val="D44A4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Dashboard!$B$49:$F$49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Dashboard!$B$51:$F$51</c:f>
              <c:numCache>
                <c:formatCode>General</c:formatCode>
                <c:ptCount val="5"/>
                <c:pt idx="0">
                  <c:v>2.6654545454545446</c:v>
                </c:pt>
                <c:pt idx="1">
                  <c:v>2.6654545454545455</c:v>
                </c:pt>
                <c:pt idx="2">
                  <c:v>2.6654545454545446</c:v>
                </c:pt>
                <c:pt idx="3">
                  <c:v>2.6654545454545446</c:v>
                </c:pt>
                <c:pt idx="4">
                  <c:v>2.665454545454546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F4-8541-9E37-5F9923D208E9}"/>
            </c:ext>
          </c:extLst>
        </c:ser>
        <c:ser>
          <c:idx val="2"/>
          <c:order val="2"/>
          <c:tx>
            <c:strRef>
              <c:f>Dashboard!$A$52</c:f>
              <c:strCache>
                <c:ptCount val="1"/>
                <c:pt idx="0">
                  <c:v>OpEx %</c:v>
                </c:pt>
              </c:strCache>
            </c:strRef>
          </c:tx>
          <c:spPr>
            <a:ln w="28575" cap="rnd">
              <a:solidFill>
                <a:srgbClr val="88888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Dashboard!$B$49:$F$49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Dashboard!$B$52:$F$52</c:f>
              <c:numCache>
                <c:formatCode>General</c:formatCode>
                <c:ptCount val="5"/>
                <c:pt idx="0">
                  <c:v>4.008</c:v>
                </c:pt>
                <c:pt idx="1">
                  <c:v>3.0000000000000004</c:v>
                </c:pt>
                <c:pt idx="2">
                  <c:v>2.4</c:v>
                </c:pt>
                <c:pt idx="3">
                  <c:v>2.2799999999999994</c:v>
                </c:pt>
                <c:pt idx="4">
                  <c:v>2.2080000000000002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F4-8541-9E37-5F9923D208E9}"/>
            </c:ext>
          </c:extLst>
        </c:ser>
        <c:ser>
          <c:idx val="3"/>
          <c:order val="3"/>
          <c:tx>
            <c:strRef>
              <c:f>Dashboard!$A$53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rgbClr val="A8C09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Dashboard!$B$49:$F$49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Dashboard!$B$53:$F$53</c:f>
              <c:numCache>
                <c:formatCode>General</c:formatCode>
                <c:ptCount val="5"/>
                <c:pt idx="0">
                  <c:v>23.474862695395014</c:v>
                </c:pt>
                <c:pt idx="1">
                  <c:v>29.330376003379804</c:v>
                </c:pt>
                <c:pt idx="2">
                  <c:v>32.815800591465994</c:v>
                </c:pt>
                <c:pt idx="3">
                  <c:v>33.512885509083226</c:v>
                </c:pt>
                <c:pt idx="4">
                  <c:v>33.931136459653558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F4-8541-9E37-5F9923D2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687231"/>
        <c:axId val="217690367"/>
      </c:lineChart>
      <c:catAx>
        <c:axId val="2176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90367"/>
        <c:crosses val="autoZero"/>
        <c:auto val="1"/>
        <c:lblAlgn val="ctr"/>
        <c:lblOffset val="100"/>
        <c:noMultiLvlLbl val="0"/>
      </c:catAx>
      <c:valAx>
        <c:axId val="2176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ROA (left) &amp; RAROC (right)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Dashboard!$A$57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rgbClr val="A8C09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Dashboard!$B$56:$F$56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Dashboard!$B$57:$F$57</c:f>
              <c:numCache>
                <c:formatCode>General</c:formatCode>
                <c:ptCount val="5"/>
                <c:pt idx="0">
                  <c:v>4.0410909090909088</c:v>
                </c:pt>
                <c:pt idx="1">
                  <c:v>5.049090909090908</c:v>
                </c:pt>
                <c:pt idx="2">
                  <c:v>5.6490909090909094</c:v>
                </c:pt>
                <c:pt idx="3">
                  <c:v>5.7690909090909095</c:v>
                </c:pt>
                <c:pt idx="4">
                  <c:v>5.8410909090909078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3-214B-BA7E-57732F475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743167"/>
        <c:axId val="213744959"/>
      </c:lineChart>
      <c:lineChart>
        <c:grouping val="standard"/>
        <c:varyColors val="0"/>
        <c:ser>
          <c:idx val="1"/>
          <c:order val="1"/>
          <c:tx>
            <c:strRef>
              <c:f>Dashboard!$A$58</c:f>
              <c:strCache>
                <c:ptCount val="1"/>
                <c:pt idx="0">
                  <c:v>RAROC</c:v>
                </c:pt>
              </c:strCache>
            </c:strRef>
          </c:tx>
          <c:spPr>
            <a:ln w="28575" cap="rnd">
              <a:solidFill>
                <a:srgbClr val="1A1A2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Dashboard!$B$56:$F$56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Dashboard!$B$58:$F$58</c:f>
              <c:numCache>
                <c:formatCode>General</c:formatCode>
                <c:ptCount val="5"/>
                <c:pt idx="0">
                  <c:v>28.864935064935064</c:v>
                </c:pt>
                <c:pt idx="1">
                  <c:v>36.06493506493505</c:v>
                </c:pt>
                <c:pt idx="2">
                  <c:v>40.350649350649356</c:v>
                </c:pt>
                <c:pt idx="3">
                  <c:v>41.20779220779221</c:v>
                </c:pt>
                <c:pt idx="4">
                  <c:v>41.722077922077922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3-214B-BA7E-57732F475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28255"/>
        <c:axId val="205725567"/>
      </c:lineChart>
      <c:catAx>
        <c:axId val="21374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44959"/>
        <c:crosses val="autoZero"/>
        <c:auto val="1"/>
        <c:lblAlgn val="ctr"/>
        <c:lblOffset val="100"/>
        <c:noMultiLvlLbl val="0"/>
      </c:catAx>
      <c:valAx>
        <c:axId val="21374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43167"/>
        <c:crosses val="autoZero"/>
        <c:crossBetween val="between"/>
      </c:valAx>
      <c:valAx>
        <c:axId val="205725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8255"/>
        <c:crosses val="max"/>
        <c:crossBetween val="between"/>
      </c:valAx>
      <c:catAx>
        <c:axId val="205728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7255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Vintage cohort cumulative loss curves (AED 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Y1 vintage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'Vintage Cohorts'!$B$20:$Z$20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'Vintage Cohorts'!$B$26:$Z$26</c:f>
              <c:numCache>
                <c:formatCode>#,##0.0;\(#,##0.0\);"-"</c:formatCode>
                <c:ptCount val="25"/>
                <c:pt idx="0">
                  <c:v>0</c:v>
                </c:pt>
                <c:pt idx="1">
                  <c:v>6.7777397260273972E-2</c:v>
                </c:pt>
                <c:pt idx="2">
                  <c:v>0.13555479452054794</c:v>
                </c:pt>
                <c:pt idx="3">
                  <c:v>0.20333219178082193</c:v>
                </c:pt>
                <c:pt idx="4">
                  <c:v>0.27110958904109589</c:v>
                </c:pt>
                <c:pt idx="5">
                  <c:v>0.33888698630136987</c:v>
                </c:pt>
                <c:pt idx="6">
                  <c:v>0.40666438356164386</c:v>
                </c:pt>
                <c:pt idx="7">
                  <c:v>0.46314554794520552</c:v>
                </c:pt>
                <c:pt idx="8">
                  <c:v>0.51962671232876723</c:v>
                </c:pt>
                <c:pt idx="9">
                  <c:v>0.57610787671232888</c:v>
                </c:pt>
                <c:pt idx="10">
                  <c:v>0.63258904109589043</c:v>
                </c:pt>
                <c:pt idx="11">
                  <c:v>0.68907020547945208</c:v>
                </c:pt>
                <c:pt idx="12">
                  <c:v>0.74555136986301374</c:v>
                </c:pt>
                <c:pt idx="13">
                  <c:v>0.80203253424657539</c:v>
                </c:pt>
                <c:pt idx="14">
                  <c:v>0.85851369863013716</c:v>
                </c:pt>
                <c:pt idx="15">
                  <c:v>0.9149948630136987</c:v>
                </c:pt>
                <c:pt idx="16">
                  <c:v>0.97147602739726036</c:v>
                </c:pt>
                <c:pt idx="17">
                  <c:v>1.0279571917808221</c:v>
                </c:pt>
                <c:pt idx="18">
                  <c:v>1.0844383561643836</c:v>
                </c:pt>
                <c:pt idx="19">
                  <c:v>1.1296232876712329</c:v>
                </c:pt>
                <c:pt idx="20">
                  <c:v>1.1748082191780822</c:v>
                </c:pt>
                <c:pt idx="21">
                  <c:v>1.2199931506849315</c:v>
                </c:pt>
                <c:pt idx="22">
                  <c:v>1.2651780821917809</c:v>
                </c:pt>
                <c:pt idx="23">
                  <c:v>1.3103630136986302</c:v>
                </c:pt>
                <c:pt idx="24">
                  <c:v>1.3555479452054795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054A-88F3-5F9A05F4720B}"/>
            </c:ext>
          </c:extLst>
        </c:ser>
        <c:ser>
          <c:idx val="1"/>
          <c:order val="1"/>
          <c:tx>
            <c:v>Y2 vintage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'Vintage Cohorts'!$B$20:$Z$20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'Vintage Cohorts'!$B$27:$Z$27</c:f>
              <c:numCache>
                <c:formatCode>#,##0.0;\(#,##0.0\);"-"</c:formatCode>
                <c:ptCount val="25"/>
                <c:pt idx="0">
                  <c:v>0</c:v>
                </c:pt>
                <c:pt idx="1">
                  <c:v>0.40666438356164386</c:v>
                </c:pt>
                <c:pt idx="2">
                  <c:v>0.81332876712328772</c:v>
                </c:pt>
                <c:pt idx="3">
                  <c:v>1.2199931506849317</c:v>
                </c:pt>
                <c:pt idx="4">
                  <c:v>1.6266575342465754</c:v>
                </c:pt>
                <c:pt idx="5">
                  <c:v>2.0333219178082196</c:v>
                </c:pt>
                <c:pt idx="6">
                  <c:v>2.4399863013698635</c:v>
                </c:pt>
                <c:pt idx="7">
                  <c:v>2.7788732876712334</c:v>
                </c:pt>
                <c:pt idx="8">
                  <c:v>3.1177602739726034</c:v>
                </c:pt>
                <c:pt idx="9">
                  <c:v>3.4566472602739737</c:v>
                </c:pt>
                <c:pt idx="10">
                  <c:v>3.7955342465753432</c:v>
                </c:pt>
                <c:pt idx="11">
                  <c:v>4.1344212328767131</c:v>
                </c:pt>
                <c:pt idx="12">
                  <c:v>4.4733082191780831</c:v>
                </c:pt>
                <c:pt idx="13">
                  <c:v>4.812195205479453</c:v>
                </c:pt>
                <c:pt idx="14">
                  <c:v>5.1510821917808238</c:v>
                </c:pt>
                <c:pt idx="15">
                  <c:v>5.4899691780821929</c:v>
                </c:pt>
                <c:pt idx="16">
                  <c:v>5.8288561643835628</c:v>
                </c:pt>
                <c:pt idx="17">
                  <c:v>6.1677431506849336</c:v>
                </c:pt>
                <c:pt idx="18">
                  <c:v>6.5066301369863027</c:v>
                </c:pt>
                <c:pt idx="19">
                  <c:v>6.7777397260273986</c:v>
                </c:pt>
                <c:pt idx="20">
                  <c:v>7.0488493150684945</c:v>
                </c:pt>
                <c:pt idx="21">
                  <c:v>7.3199589041095905</c:v>
                </c:pt>
                <c:pt idx="22">
                  <c:v>7.5910684931506864</c:v>
                </c:pt>
                <c:pt idx="23">
                  <c:v>7.8621780821917824</c:v>
                </c:pt>
                <c:pt idx="24">
                  <c:v>8.1332876712328783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A-054A-88F3-5F9A05F4720B}"/>
            </c:ext>
          </c:extLst>
        </c:ser>
        <c:ser>
          <c:idx val="2"/>
          <c:order val="2"/>
          <c:tx>
            <c:v>Y3 vintage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'Vintage Cohorts'!$B$20:$Z$20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'Vintage Cohorts'!$B$28:$Z$28</c:f>
              <c:numCache>
                <c:formatCode>#,##0.0;\(#,##0.0\);"-"</c:formatCode>
                <c:ptCount val="25"/>
                <c:pt idx="0">
                  <c:v>0</c:v>
                </c:pt>
                <c:pt idx="1">
                  <c:v>1.0844383561643836</c:v>
                </c:pt>
                <c:pt idx="2">
                  <c:v>2.1688767123287671</c:v>
                </c:pt>
                <c:pt idx="3">
                  <c:v>3.2533150684931509</c:v>
                </c:pt>
                <c:pt idx="4">
                  <c:v>4.3377534246575342</c:v>
                </c:pt>
                <c:pt idx="5">
                  <c:v>5.422191780821918</c:v>
                </c:pt>
                <c:pt idx="6">
                  <c:v>6.5066301369863018</c:v>
                </c:pt>
                <c:pt idx="7">
                  <c:v>7.4103287671232883</c:v>
                </c:pt>
                <c:pt idx="8">
                  <c:v>8.3140273972602756</c:v>
                </c:pt>
                <c:pt idx="9">
                  <c:v>9.2177260273972621</c:v>
                </c:pt>
                <c:pt idx="10">
                  <c:v>10.121424657534247</c:v>
                </c:pt>
                <c:pt idx="11">
                  <c:v>11.025123287671233</c:v>
                </c:pt>
                <c:pt idx="12">
                  <c:v>11.92882191780822</c:v>
                </c:pt>
                <c:pt idx="13">
                  <c:v>12.832520547945206</c:v>
                </c:pt>
                <c:pt idx="14">
                  <c:v>13.736219178082195</c:v>
                </c:pt>
                <c:pt idx="15">
                  <c:v>14.639917808219179</c:v>
                </c:pt>
                <c:pt idx="16">
                  <c:v>15.543616438356166</c:v>
                </c:pt>
                <c:pt idx="17">
                  <c:v>16.447315068493154</c:v>
                </c:pt>
                <c:pt idx="18">
                  <c:v>17.351013698630137</c:v>
                </c:pt>
                <c:pt idx="19">
                  <c:v>18.073972602739726</c:v>
                </c:pt>
                <c:pt idx="20">
                  <c:v>18.796931506849315</c:v>
                </c:pt>
                <c:pt idx="21">
                  <c:v>19.519890410958904</c:v>
                </c:pt>
                <c:pt idx="22">
                  <c:v>20.242849315068494</c:v>
                </c:pt>
                <c:pt idx="23">
                  <c:v>20.965808219178083</c:v>
                </c:pt>
                <c:pt idx="24">
                  <c:v>21.688767123287672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A-054A-88F3-5F9A05F47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76063"/>
        <c:axId val="286977855"/>
      </c:lineChart>
      <c:catAx>
        <c:axId val="28697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 on book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77855"/>
        <c:crosses val="autoZero"/>
        <c:auto val="1"/>
        <c:lblAlgn val="ctr"/>
        <c:lblOffset val="100"/>
        <c:noMultiLvlLbl val="0"/>
      </c:catAx>
      <c:valAx>
        <c:axId val="2869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 loss (AED 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7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37E8F1-7CF2-2925-E807-2D8F3C51C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5975AF-72A1-1CB2-7AB0-8C09A28B5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EC768E-F56A-FDCD-073F-354CA2C04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3</xdr:row>
      <xdr:rowOff>0</xdr:rowOff>
    </xdr:from>
    <xdr:to>
      <xdr:col>40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B4AC6-2714-17DF-93C1-8100992A3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244B3E-012D-AF4C-AA9F-6FF3ED021224}">
  <we:reference id="wa200009404" version="1.0.0.8" store="en-GB" storeType="OMEX"/>
  <we:alternateReferences>
    <we:reference id="wa200009404" version="1.0.0.8" store="en-GB" storeType="OMEX"/>
  </we:alternateReferences>
  <we:properties>
    <we:property name="claude.fileId" value="&quot;a1e7126f-ab5f-41cb-b597-93023c9bd64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B7E8"/>
  </sheetPr>
  <dimension ref="A1:B23"/>
  <sheetViews>
    <sheetView tabSelected="1" workbookViewId="0">
      <pane ySplit="2" topLeftCell="A3" activePane="bottomLeft" state="frozen"/>
      <selection pane="bottomLeft" activeCell="D19" sqref="D19"/>
    </sheetView>
  </sheetViews>
  <sheetFormatPr baseColWidth="10" defaultColWidth="8.83203125" defaultRowHeight="15"/>
  <cols>
    <col min="1" max="1" width="28" customWidth="1"/>
    <col min="2" max="2" width="90" customWidth="1"/>
  </cols>
  <sheetData>
    <row r="1" spans="1:2" ht="23">
      <c r="A1" s="1" t="s">
        <v>0</v>
      </c>
    </row>
    <row r="2" spans="1:2">
      <c r="A2" s="2" t="s">
        <v>1</v>
      </c>
    </row>
    <row r="3" spans="1:2">
      <c r="A3" s="138" t="s">
        <v>2</v>
      </c>
    </row>
    <row r="5" spans="1:2">
      <c r="A5" s="3"/>
      <c r="B5" s="4"/>
    </row>
    <row r="6" spans="1:2" ht="57" customHeight="1">
      <c r="A6" s="3" t="s">
        <v>3</v>
      </c>
      <c r="B6" s="4" t="s">
        <v>4</v>
      </c>
    </row>
    <row r="7" spans="1:2" ht="49" customHeight="1">
      <c r="A7" s="3" t="s">
        <v>5</v>
      </c>
      <c r="B7" s="4" t="s">
        <v>6</v>
      </c>
    </row>
    <row r="8" spans="1:2" ht="42" customHeight="1">
      <c r="A8" s="3" t="s">
        <v>7</v>
      </c>
      <c r="B8" s="4" t="s">
        <v>8</v>
      </c>
    </row>
    <row r="9" spans="1:2">
      <c r="A9" s="3"/>
      <c r="B9" s="4"/>
    </row>
    <row r="10" spans="1:2">
      <c r="A10" s="2" t="s">
        <v>9</v>
      </c>
      <c r="B10" s="4"/>
    </row>
    <row r="11" spans="1:2" ht="42" customHeight="1">
      <c r="A11" s="3" t="s">
        <v>10</v>
      </c>
      <c r="B11" s="4" t="s">
        <v>11</v>
      </c>
    </row>
    <row r="12" spans="1:2" ht="69" customHeight="1">
      <c r="A12" s="3" t="s">
        <v>576</v>
      </c>
      <c r="B12" s="4" t="s">
        <v>579</v>
      </c>
    </row>
    <row r="13" spans="1:2" ht="58" customHeight="1">
      <c r="A13" s="3" t="s">
        <v>577</v>
      </c>
      <c r="B13" s="4" t="s">
        <v>580</v>
      </c>
    </row>
    <row r="14" spans="1:2" ht="60" customHeight="1">
      <c r="A14" s="3" t="s">
        <v>544</v>
      </c>
      <c r="B14" s="4" t="s">
        <v>545</v>
      </c>
    </row>
    <row r="15" spans="1:2" ht="57" customHeight="1">
      <c r="A15" s="3" t="s">
        <v>12</v>
      </c>
      <c r="B15" s="4" t="s">
        <v>13</v>
      </c>
    </row>
    <row r="16" spans="1:2" ht="60" customHeight="1">
      <c r="A16" s="3" t="s">
        <v>14</v>
      </c>
      <c r="B16" s="4" t="s">
        <v>15</v>
      </c>
    </row>
    <row r="17" spans="1:2" ht="58" customHeight="1">
      <c r="A17" s="3" t="s">
        <v>578</v>
      </c>
      <c r="B17" s="4" t="s">
        <v>581</v>
      </c>
    </row>
    <row r="18" spans="1:2" ht="41" customHeight="1">
      <c r="A18" s="3" t="s">
        <v>16</v>
      </c>
      <c r="B18" s="4" t="s">
        <v>17</v>
      </c>
    </row>
    <row r="19" spans="1:2" ht="32" customHeight="1">
      <c r="A19" s="3" t="s">
        <v>18</v>
      </c>
      <c r="B19" s="4" t="s">
        <v>19</v>
      </c>
    </row>
    <row r="20" spans="1:2" ht="25" customHeight="1">
      <c r="A20" s="3" t="s">
        <v>20</v>
      </c>
      <c r="B20" s="4" t="s">
        <v>21</v>
      </c>
    </row>
    <row r="21" spans="1:2">
      <c r="A21" s="3"/>
      <c r="B21" s="4"/>
    </row>
    <row r="22" spans="1:2" ht="41" customHeight="1">
      <c r="A22" s="36" t="s">
        <v>229</v>
      </c>
      <c r="B22" s="35">
        <f ca="1">TODAY()</f>
        <v>46152</v>
      </c>
    </row>
    <row r="23" spans="1:2" ht="33" customHeight="1">
      <c r="A23" s="3" t="s">
        <v>22</v>
      </c>
      <c r="B23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5F65-02BD-8E44-8A76-9700C637DF36}">
  <sheetPr>
    <tabColor rgb="FFC9B7E8"/>
  </sheetPr>
  <dimension ref="A1:K60"/>
  <sheetViews>
    <sheetView workbookViewId="0">
      <pane ySplit="7" topLeftCell="A8" activePane="bottomLeft" state="frozen"/>
      <selection pane="bottomLeft" activeCell="B56" activeCellId="5" sqref="A42 B43:F43 A48 B49:F49 A55 B56:F56"/>
    </sheetView>
  </sheetViews>
  <sheetFormatPr baseColWidth="10" defaultRowHeight="15"/>
  <cols>
    <col min="1" max="1" width="4.1640625" customWidth="1"/>
    <col min="2" max="2" width="16.6640625" customWidth="1"/>
    <col min="3" max="9" width="12.5" customWidth="1"/>
    <col min="10" max="26" width="15" customWidth="1"/>
  </cols>
  <sheetData>
    <row r="1" spans="1:11" ht="21">
      <c r="A1" s="109" t="s">
        <v>520</v>
      </c>
    </row>
    <row r="2" spans="1:11">
      <c r="A2" s="110" t="s">
        <v>501</v>
      </c>
    </row>
    <row r="4" spans="1:11" ht="26" customHeight="1">
      <c r="B4" s="111" t="s">
        <v>502</v>
      </c>
      <c r="C4" s="112"/>
      <c r="D4" s="111" t="s">
        <v>561</v>
      </c>
      <c r="E4" s="112"/>
      <c r="F4" s="111" t="s">
        <v>563</v>
      </c>
      <c r="G4" s="112"/>
      <c r="H4" s="111" t="s">
        <v>565</v>
      </c>
      <c r="I4" s="112"/>
      <c r="J4" s="111" t="s">
        <v>503</v>
      </c>
      <c r="K4" s="112"/>
    </row>
    <row r="5" spans="1:11" ht="36" customHeight="1">
      <c r="B5" s="113">
        <f>disb_y3</f>
        <v>4000</v>
      </c>
      <c r="C5" s="114"/>
      <c r="D5" s="115">
        <f>'Combined P&amp;L'!D35</f>
        <v>26.3284191780822</v>
      </c>
      <c r="E5" s="116"/>
      <c r="F5" s="117">
        <f>'Combined P&amp;L'!D38</f>
        <v>23.111767676767684</v>
      </c>
      <c r="G5" s="116"/>
      <c r="H5" s="113">
        <f>SUM('Combined P&amp;L'!B35:F35)</f>
        <v>199.1531066438356</v>
      </c>
      <c r="I5" s="114"/>
      <c r="J5" s="113">
        <f>'Combined P&amp;L'!F13</f>
        <v>370.23287671232873</v>
      </c>
      <c r="K5" s="114"/>
    </row>
    <row r="6" spans="1:11" ht="18" customHeight="1">
      <c r="B6" s="118" t="s">
        <v>504</v>
      </c>
      <c r="D6" s="118" t="s">
        <v>562</v>
      </c>
      <c r="F6" s="118" t="s">
        <v>564</v>
      </c>
      <c r="H6" s="118" t="s">
        <v>566</v>
      </c>
      <c r="J6" s="118" t="s">
        <v>505</v>
      </c>
    </row>
    <row r="27" spans="2:9">
      <c r="B27" s="119" t="s">
        <v>518</v>
      </c>
    </row>
    <row r="28" spans="2:9">
      <c r="B28" s="120" t="s">
        <v>519</v>
      </c>
    </row>
    <row r="30" spans="2:9">
      <c r="B30" s="121" t="str">
        <f>Sensitivity!A4</f>
        <v>PD × → / COF ↓</v>
      </c>
      <c r="C30" s="121" t="str">
        <f>Sensitivity!B4</f>
        <v>0.6× PD</v>
      </c>
      <c r="D30" s="121" t="str">
        <f>Sensitivity!C4</f>
        <v>0.8× PD</v>
      </c>
      <c r="E30" s="121" t="str">
        <f>Sensitivity!D4</f>
        <v>1.0× PD</v>
      </c>
      <c r="F30" s="121" t="str">
        <f>Sensitivity!E4</f>
        <v>1.2× PD</v>
      </c>
      <c r="G30" s="121" t="str">
        <f>Sensitivity!F4</f>
        <v>1.5× PD</v>
      </c>
      <c r="H30" s="121" t="str">
        <f>Sensitivity!G4</f>
        <v>1.8× PD</v>
      </c>
      <c r="I30" s="121" t="str">
        <f>Sensitivity!H4</f>
        <v>2.2× PD</v>
      </c>
    </row>
    <row r="31" spans="2:9">
      <c r="B31" s="80" t="str">
        <f>Sensitivity!A5</f>
        <v>COF 5.5%</v>
      </c>
      <c r="C31" s="85">
        <f>Sensitivity!B5</f>
        <v>62.779068493150689</v>
      </c>
      <c r="D31" s="85">
        <f>Sensitivity!C5</f>
        <v>58.441315068493161</v>
      </c>
      <c r="E31" s="85">
        <f>Sensitivity!D5</f>
        <v>54.103561643835612</v>
      </c>
      <c r="F31" s="85">
        <f>Sensitivity!E5</f>
        <v>49.765808219178084</v>
      </c>
      <c r="G31" s="85">
        <f>Sensitivity!F5</f>
        <v>43.259178082191781</v>
      </c>
      <c r="H31" s="85">
        <f>Sensitivity!G5</f>
        <v>36.752547945205478</v>
      </c>
      <c r="I31" s="85">
        <f>Sensitivity!H5</f>
        <v>28.077041095890415</v>
      </c>
    </row>
    <row r="32" spans="2:9" ht="16" thickBot="1">
      <c r="B32" s="80" t="str">
        <f>Sensitivity!A6</f>
        <v>COF 6.0%</v>
      </c>
      <c r="C32" s="85">
        <f>Sensitivity!B6</f>
        <v>58.710575342465752</v>
      </c>
      <c r="D32" s="85">
        <f>Sensitivity!C6</f>
        <v>54.372821917808224</v>
      </c>
      <c r="E32" s="124">
        <f>Sensitivity!D6</f>
        <v>50.035068493150675</v>
      </c>
      <c r="F32" s="85">
        <f>Sensitivity!E6</f>
        <v>45.697315068493147</v>
      </c>
      <c r="G32" s="85">
        <f>Sensitivity!F6</f>
        <v>39.190684931506844</v>
      </c>
      <c r="H32" s="85">
        <f>Sensitivity!G6</f>
        <v>32.684054794520542</v>
      </c>
      <c r="I32" s="85">
        <f>Sensitivity!H6</f>
        <v>24.008547945205478</v>
      </c>
    </row>
    <row r="33" spans="1:9" ht="17" thickTop="1" thickBot="1">
      <c r="B33" s="80" t="str">
        <f>Sensitivity!A7</f>
        <v>COF 6.5%</v>
      </c>
      <c r="C33" s="85">
        <f>Sensitivity!B7</f>
        <v>54.642082191780815</v>
      </c>
      <c r="D33" s="123">
        <f>Sensitivity!C7</f>
        <v>50.304328767123287</v>
      </c>
      <c r="E33" s="126">
        <f>Sensitivity!D7</f>
        <v>45.966575342465745</v>
      </c>
      <c r="F33" s="91">
        <f>Sensitivity!E7</f>
        <v>41.628821917808217</v>
      </c>
      <c r="G33" s="85">
        <f>Sensitivity!F7</f>
        <v>35.122191780821915</v>
      </c>
      <c r="H33" s="85">
        <f>Sensitivity!G7</f>
        <v>28.615561643835605</v>
      </c>
      <c r="I33" s="85">
        <f>Sensitivity!H7</f>
        <v>19.940054794520542</v>
      </c>
    </row>
    <row r="34" spans="1:9" ht="16" thickTop="1">
      <c r="B34" s="80" t="str">
        <f>Sensitivity!A8</f>
        <v>COF 7.0%</v>
      </c>
      <c r="C34" s="85">
        <f>Sensitivity!B8</f>
        <v>50.573589041095886</v>
      </c>
      <c r="D34" s="85">
        <f>Sensitivity!C8</f>
        <v>46.235835616438351</v>
      </c>
      <c r="E34" s="125">
        <f>Sensitivity!D8</f>
        <v>41.898082191780809</v>
      </c>
      <c r="F34" s="85">
        <f>Sensitivity!E8</f>
        <v>37.560328767123281</v>
      </c>
      <c r="G34" s="85">
        <f>Sensitivity!F8</f>
        <v>31.053698630136978</v>
      </c>
      <c r="H34" s="85">
        <f>Sensitivity!G8</f>
        <v>24.547068493150668</v>
      </c>
      <c r="I34" s="85">
        <f>Sensitivity!H8</f>
        <v>15.871561643835609</v>
      </c>
    </row>
    <row r="35" spans="1:9">
      <c r="B35" s="80" t="str">
        <f>Sensitivity!A9</f>
        <v>COF 7.5%</v>
      </c>
      <c r="C35" s="85">
        <f>Sensitivity!B9</f>
        <v>46.505095890410949</v>
      </c>
      <c r="D35" s="85">
        <f>Sensitivity!C9</f>
        <v>42.167342465753421</v>
      </c>
      <c r="E35" s="85">
        <f>Sensitivity!D9</f>
        <v>37.829589041095886</v>
      </c>
      <c r="F35" s="85">
        <f>Sensitivity!E9</f>
        <v>33.491835616438358</v>
      </c>
      <c r="G35" s="85">
        <f>Sensitivity!F9</f>
        <v>26.985205479452052</v>
      </c>
      <c r="H35" s="85">
        <f>Sensitivity!G9</f>
        <v>20.478575342465753</v>
      </c>
      <c r="I35" s="85">
        <f>Sensitivity!H9</f>
        <v>11.803068493150674</v>
      </c>
    </row>
    <row r="36" spans="1:9">
      <c r="B36" s="80" t="str">
        <f>Sensitivity!A10</f>
        <v>COF 8.0%</v>
      </c>
      <c r="C36" s="85">
        <f>Sensitivity!B10</f>
        <v>42.436602739726013</v>
      </c>
      <c r="D36" s="85">
        <f>Sensitivity!C10</f>
        <v>38.098849315068492</v>
      </c>
      <c r="E36" s="85">
        <f>Sensitivity!D10</f>
        <v>33.761095890410949</v>
      </c>
      <c r="F36" s="85">
        <f>Sensitivity!E10</f>
        <v>29.423342465753421</v>
      </c>
      <c r="G36" s="85">
        <f>Sensitivity!F10</f>
        <v>22.916712328767115</v>
      </c>
      <c r="H36" s="85">
        <f>Sensitivity!G10</f>
        <v>16.41008219178082</v>
      </c>
      <c r="I36" s="85">
        <f>Sensitivity!H10</f>
        <v>7.7345753424657442</v>
      </c>
    </row>
    <row r="37" spans="1:9">
      <c r="B37" s="80" t="str">
        <f>Sensitivity!A11</f>
        <v>COF 8.5%</v>
      </c>
      <c r="C37" s="85">
        <f>Sensitivity!B11</f>
        <v>38.368109589041083</v>
      </c>
      <c r="D37" s="85">
        <f>Sensitivity!C11</f>
        <v>34.030356164383555</v>
      </c>
      <c r="E37" s="85">
        <f>Sensitivity!D11</f>
        <v>29.69260273972602</v>
      </c>
      <c r="F37" s="85">
        <f>Sensitivity!E11</f>
        <v>25.354849315068485</v>
      </c>
      <c r="G37" s="85">
        <f>Sensitivity!F11</f>
        <v>18.848219178082179</v>
      </c>
      <c r="H37" s="85">
        <f>Sensitivity!G11</f>
        <v>12.341589041095885</v>
      </c>
      <c r="I37" s="85">
        <f>Sensitivity!H11</f>
        <v>3.6660821917808057</v>
      </c>
    </row>
    <row r="40" spans="1:9">
      <c r="A40" s="135" t="s">
        <v>506</v>
      </c>
      <c r="B40" s="122"/>
      <c r="C40" s="122"/>
      <c r="D40" s="122"/>
      <c r="E40" s="122"/>
      <c r="F40" s="122"/>
    </row>
    <row r="41" spans="1:9">
      <c r="A41" s="122"/>
      <c r="B41" s="122"/>
      <c r="C41" s="122"/>
      <c r="D41" s="122"/>
      <c r="E41" s="122"/>
      <c r="F41" s="122"/>
    </row>
    <row r="42" spans="1:9">
      <c r="A42" s="137" t="s">
        <v>507</v>
      </c>
      <c r="B42" s="122"/>
      <c r="C42" s="122"/>
      <c r="D42" s="122"/>
      <c r="E42" s="122"/>
      <c r="F42" s="122"/>
    </row>
    <row r="43" spans="1:9">
      <c r="A43" s="136" t="s">
        <v>508</v>
      </c>
      <c r="B43" s="137" t="s">
        <v>106</v>
      </c>
      <c r="C43" s="137" t="s">
        <v>107</v>
      </c>
      <c r="D43" s="137" t="s">
        <v>108</v>
      </c>
      <c r="E43" s="137" t="s">
        <v>242</v>
      </c>
      <c r="F43" s="137" t="s">
        <v>243</v>
      </c>
    </row>
    <row r="44" spans="1:9">
      <c r="A44" s="136" t="s">
        <v>175</v>
      </c>
      <c r="B44" s="136">
        <f>'Volume &amp; Mix'!B5*mix_pay30/100</f>
        <v>100</v>
      </c>
      <c r="C44" s="136">
        <f>'Volume &amp; Mix'!C5*mix_pay30/100</f>
        <v>600</v>
      </c>
      <c r="D44" s="136">
        <f>'Volume &amp; Mix'!D5*mix_pay30/100</f>
        <v>1600</v>
      </c>
      <c r="E44" s="136">
        <f>'Volume &amp; Mix'!E5*mix_pay30/100</f>
        <v>3200</v>
      </c>
      <c r="F44" s="136">
        <f>'Volume &amp; Mix'!F5*mix_pay30/100</f>
        <v>5200</v>
      </c>
    </row>
    <row r="45" spans="1:9">
      <c r="A45" s="136" t="s">
        <v>176</v>
      </c>
      <c r="B45" s="136">
        <f>'Volume &amp; Mix'!B5*mix_bnpl/100</f>
        <v>125</v>
      </c>
      <c r="C45" s="136">
        <f>'Volume &amp; Mix'!C5*mix_bnpl/100</f>
        <v>750</v>
      </c>
      <c r="D45" s="136">
        <f>'Volume &amp; Mix'!D5*mix_bnpl/100</f>
        <v>2000</v>
      </c>
      <c r="E45" s="136">
        <f>'Volume &amp; Mix'!E5*mix_bnpl/100</f>
        <v>4000</v>
      </c>
      <c r="F45" s="136">
        <f>'Volume &amp; Mix'!F5*mix_bnpl/100</f>
        <v>6500</v>
      </c>
    </row>
    <row r="46" spans="1:9">
      <c r="A46" s="136" t="s">
        <v>263</v>
      </c>
      <c r="B46" s="136">
        <f>'Volume &amp; Mix'!B5*mix_ext/100</f>
        <v>25</v>
      </c>
      <c r="C46" s="136">
        <f>'Volume &amp; Mix'!C5*mix_ext/100</f>
        <v>150</v>
      </c>
      <c r="D46" s="136">
        <f>'Volume &amp; Mix'!D5*mix_ext/100</f>
        <v>400</v>
      </c>
      <c r="E46" s="136">
        <f>'Volume &amp; Mix'!E5*mix_ext/100</f>
        <v>800</v>
      </c>
      <c r="F46" s="136">
        <f>'Volume &amp; Mix'!F5*mix_ext/100</f>
        <v>1300</v>
      </c>
    </row>
    <row r="47" spans="1:9">
      <c r="A47" s="122"/>
      <c r="B47" s="122"/>
      <c r="C47" s="122"/>
      <c r="D47" s="122"/>
      <c r="E47" s="122"/>
      <c r="F47" s="122"/>
    </row>
    <row r="48" spans="1:9">
      <c r="A48" s="137" t="s">
        <v>509</v>
      </c>
      <c r="B48" s="122"/>
      <c r="C48" s="122"/>
      <c r="D48" s="122"/>
      <c r="E48" s="122"/>
      <c r="F48" s="122"/>
    </row>
    <row r="49" spans="1:6">
      <c r="A49" s="136" t="s">
        <v>510</v>
      </c>
      <c r="B49" s="137" t="s">
        <v>106</v>
      </c>
      <c r="C49" s="137" t="s">
        <v>107</v>
      </c>
      <c r="D49" s="137" t="s">
        <v>108</v>
      </c>
      <c r="E49" s="137" t="s">
        <v>242</v>
      </c>
      <c r="F49" s="137" t="s">
        <v>243</v>
      </c>
    </row>
    <row r="50" spans="1:6">
      <c r="A50" s="136" t="s">
        <v>511</v>
      </c>
      <c r="B50" s="136">
        <f>'Combined P&amp;L'!B16</f>
        <v>10.714545454545455</v>
      </c>
      <c r="C50" s="136">
        <f>'Combined P&amp;L'!C16</f>
        <v>10.714545454545453</v>
      </c>
      <c r="D50" s="136">
        <f>'Combined P&amp;L'!D16</f>
        <v>10.714545454545455</v>
      </c>
      <c r="E50" s="136">
        <f>'Combined P&amp;L'!E16</f>
        <v>10.714545454545455</v>
      </c>
      <c r="F50" s="136">
        <f>'Combined P&amp;L'!F16</f>
        <v>10.714545454545455</v>
      </c>
    </row>
    <row r="51" spans="1:6">
      <c r="A51" s="136" t="s">
        <v>512</v>
      </c>
      <c r="B51" s="136">
        <f>'Combined P&amp;L'!B17</f>
        <v>2.6654545454545446</v>
      </c>
      <c r="C51" s="136">
        <f>'Combined P&amp;L'!C17</f>
        <v>2.6654545454545455</v>
      </c>
      <c r="D51" s="136">
        <f>'Combined P&amp;L'!D17</f>
        <v>2.6654545454545446</v>
      </c>
      <c r="E51" s="136">
        <f>'Combined P&amp;L'!E17</f>
        <v>2.6654545454545446</v>
      </c>
      <c r="F51" s="136">
        <f>'Combined P&amp;L'!F17</f>
        <v>2.665454545454546</v>
      </c>
    </row>
    <row r="52" spans="1:6">
      <c r="A52" s="136" t="s">
        <v>513</v>
      </c>
      <c r="B52" s="136">
        <f>'Combined P&amp;L'!B18</f>
        <v>4.008</v>
      </c>
      <c r="C52" s="136">
        <f>'Combined P&amp;L'!C18</f>
        <v>3.0000000000000004</v>
      </c>
      <c r="D52" s="136">
        <f>'Combined P&amp;L'!D18</f>
        <v>2.4</v>
      </c>
      <c r="E52" s="136">
        <f>'Combined P&amp;L'!E18</f>
        <v>2.2799999999999994</v>
      </c>
      <c r="F52" s="136">
        <f>'Combined P&amp;L'!F18</f>
        <v>2.2080000000000002</v>
      </c>
    </row>
    <row r="53" spans="1:6">
      <c r="A53" s="136" t="s">
        <v>514</v>
      </c>
      <c r="B53" s="136">
        <f>'Combined P&amp;L'!B19</f>
        <v>23.474862695395014</v>
      </c>
      <c r="C53" s="136">
        <f>'Combined P&amp;L'!C19</f>
        <v>29.330376003379804</v>
      </c>
      <c r="D53" s="136">
        <f>'Combined P&amp;L'!D19</f>
        <v>32.815800591465994</v>
      </c>
      <c r="E53" s="136">
        <f>'Combined P&amp;L'!E19</f>
        <v>33.512885509083226</v>
      </c>
      <c r="F53" s="136">
        <f>'Combined P&amp;L'!F19</f>
        <v>33.931136459653558</v>
      </c>
    </row>
    <row r="54" spans="1:6">
      <c r="A54" s="122"/>
      <c r="B54" s="122"/>
      <c r="C54" s="122"/>
      <c r="D54" s="122"/>
      <c r="E54" s="122"/>
      <c r="F54" s="122"/>
    </row>
    <row r="55" spans="1:6">
      <c r="A55" s="137" t="s">
        <v>515</v>
      </c>
      <c r="B55" s="122"/>
      <c r="C55" s="122"/>
      <c r="D55" s="122"/>
      <c r="E55" s="122"/>
      <c r="F55" s="122"/>
    </row>
    <row r="56" spans="1:6">
      <c r="A56" s="136" t="s">
        <v>510</v>
      </c>
      <c r="B56" s="137" t="s">
        <v>106</v>
      </c>
      <c r="C56" s="137" t="s">
        <v>107</v>
      </c>
      <c r="D56" s="137" t="s">
        <v>108</v>
      </c>
      <c r="E56" s="137" t="s">
        <v>242</v>
      </c>
      <c r="F56" s="137" t="s">
        <v>243</v>
      </c>
    </row>
    <row r="57" spans="1:6">
      <c r="A57" s="136" t="s">
        <v>516</v>
      </c>
      <c r="B57" s="136">
        <f>'Combined P&amp;L'!B20</f>
        <v>4.0410909090909088</v>
      </c>
      <c r="C57" s="136">
        <f>'Combined P&amp;L'!C20</f>
        <v>5.049090909090908</v>
      </c>
      <c r="D57" s="136">
        <f>'Combined P&amp;L'!D20</f>
        <v>5.6490909090909094</v>
      </c>
      <c r="E57" s="136">
        <f>'Combined P&amp;L'!E20</f>
        <v>5.7690909090909095</v>
      </c>
      <c r="F57" s="136">
        <f>'Combined P&amp;L'!F20</f>
        <v>5.8410909090909078</v>
      </c>
    </row>
    <row r="58" spans="1:6">
      <c r="A58" s="136" t="s">
        <v>517</v>
      </c>
      <c r="B58" s="136">
        <f>'Combined P&amp;L'!B21</f>
        <v>28.864935064935064</v>
      </c>
      <c r="C58" s="136">
        <f>'Combined P&amp;L'!C21</f>
        <v>36.06493506493505</v>
      </c>
      <c r="D58" s="136">
        <f>'Combined P&amp;L'!D21</f>
        <v>40.350649350649356</v>
      </c>
      <c r="E58" s="136">
        <f>'Combined P&amp;L'!E21</f>
        <v>41.20779220779221</v>
      </c>
      <c r="F58" s="136">
        <f>'Combined P&amp;L'!F21</f>
        <v>41.722077922077922</v>
      </c>
    </row>
    <row r="59" spans="1:6">
      <c r="A59" s="122"/>
      <c r="B59" s="122"/>
      <c r="C59" s="122"/>
      <c r="D59" s="122"/>
      <c r="E59" s="122"/>
      <c r="F59" s="122"/>
    </row>
    <row r="60" spans="1:6">
      <c r="A60" s="122"/>
      <c r="B60" s="122"/>
      <c r="C60" s="122"/>
      <c r="D60" s="122"/>
      <c r="E60" s="122"/>
      <c r="F60" s="1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C09A"/>
  </sheetPr>
  <dimension ref="A1:F40"/>
  <sheetViews>
    <sheetView zoomScale="120" zoomScaleNormal="120" workbookViewId="0">
      <pane ySplit="4" topLeftCell="A5" activePane="bottomLeft" state="frozen"/>
      <selection pane="bottomLeft" activeCell="E34" activeCellId="16" sqref="A2 C6:C9 E6:F9 C11:C13 E11:F13 C15:C17 E15:F17 C19:C22 E19:F22 C24:C25 E24:F25 C27:C29 F27:F29 C32 E32:F32 C34:C40 E34:F40"/>
    </sheetView>
  </sheetViews>
  <sheetFormatPr baseColWidth="10" defaultColWidth="8.83203125" defaultRowHeight="15"/>
  <cols>
    <col min="1" max="1" width="38" customWidth="1"/>
    <col min="2" max="3" width="14" customWidth="1"/>
    <col min="4" max="4" width="12" customWidth="1"/>
    <col min="5" max="5" width="14" customWidth="1"/>
    <col min="6" max="6" width="50" customWidth="1"/>
  </cols>
  <sheetData>
    <row r="1" spans="1:6" ht="23">
      <c r="A1" s="1" t="s">
        <v>24</v>
      </c>
    </row>
    <row r="2" spans="1:6">
      <c r="A2" s="138" t="s">
        <v>25</v>
      </c>
    </row>
    <row r="4" spans="1:6">
      <c r="A4" s="5" t="s">
        <v>26</v>
      </c>
      <c r="B4" s="5" t="s">
        <v>27</v>
      </c>
      <c r="C4" s="5" t="s">
        <v>28</v>
      </c>
      <c r="D4" s="5"/>
      <c r="E4" s="5" t="s">
        <v>29</v>
      </c>
      <c r="F4" s="5" t="s">
        <v>30</v>
      </c>
    </row>
    <row r="5" spans="1:6">
      <c r="A5" s="6" t="s">
        <v>31</v>
      </c>
      <c r="B5" s="7"/>
      <c r="C5" s="7"/>
      <c r="D5" s="7"/>
      <c r="E5" s="7"/>
      <c r="F5" s="7"/>
    </row>
    <row r="6" spans="1:6">
      <c r="A6" s="3" t="s">
        <v>32</v>
      </c>
      <c r="B6" s="31">
        <v>250</v>
      </c>
      <c r="C6" s="138" t="s">
        <v>33</v>
      </c>
      <c r="E6" s="138" t="s">
        <v>34</v>
      </c>
      <c r="F6" s="139" t="s">
        <v>35</v>
      </c>
    </row>
    <row r="7" spans="1:6">
      <c r="A7" s="3" t="s">
        <v>36</v>
      </c>
      <c r="B7" s="31">
        <v>1500</v>
      </c>
      <c r="C7" s="138" t="s">
        <v>33</v>
      </c>
      <c r="E7" s="138" t="s">
        <v>37</v>
      </c>
      <c r="F7" s="139" t="s">
        <v>38</v>
      </c>
    </row>
    <row r="8" spans="1:6">
      <c r="A8" s="3" t="s">
        <v>39</v>
      </c>
      <c r="B8" s="31">
        <v>4000</v>
      </c>
      <c r="C8" s="138" t="s">
        <v>33</v>
      </c>
      <c r="E8" s="138" t="s">
        <v>40</v>
      </c>
      <c r="F8" s="139" t="s">
        <v>41</v>
      </c>
    </row>
    <row r="9" spans="1:6">
      <c r="A9" s="3" t="s">
        <v>42</v>
      </c>
      <c r="B9" s="31">
        <v>80</v>
      </c>
      <c r="C9" s="138" t="s">
        <v>43</v>
      </c>
      <c r="E9" s="138" t="s">
        <v>44</v>
      </c>
      <c r="F9" s="139" t="s">
        <v>45</v>
      </c>
    </row>
    <row r="10" spans="1:6">
      <c r="A10" s="6" t="s">
        <v>46</v>
      </c>
      <c r="B10" s="32"/>
      <c r="C10" s="7"/>
      <c r="D10" s="7"/>
      <c r="E10" s="7"/>
      <c r="F10" s="7"/>
    </row>
    <row r="11" spans="1:6">
      <c r="A11" s="3" t="s">
        <v>47</v>
      </c>
      <c r="B11" s="33">
        <v>40</v>
      </c>
      <c r="C11" s="138" t="s">
        <v>48</v>
      </c>
      <c r="E11" s="138" t="s">
        <v>49</v>
      </c>
      <c r="F11" s="139" t="s">
        <v>50</v>
      </c>
    </row>
    <row r="12" spans="1:6">
      <c r="A12" s="3" t="s">
        <v>51</v>
      </c>
      <c r="B12" s="33">
        <v>50</v>
      </c>
      <c r="C12" s="138" t="s">
        <v>48</v>
      </c>
      <c r="E12" s="138" t="s">
        <v>52</v>
      </c>
      <c r="F12" s="139" t="s">
        <v>53</v>
      </c>
    </row>
    <row r="13" spans="1:6">
      <c r="A13" s="3" t="s">
        <v>54</v>
      </c>
      <c r="B13" s="33">
        <v>10</v>
      </c>
      <c r="C13" s="138" t="s">
        <v>48</v>
      </c>
      <c r="E13" s="138" t="s">
        <v>55</v>
      </c>
      <c r="F13" s="139" t="s">
        <v>56</v>
      </c>
    </row>
    <row r="14" spans="1:6">
      <c r="A14" s="6" t="s">
        <v>57</v>
      </c>
      <c r="B14" s="32"/>
      <c r="C14" s="7"/>
      <c r="D14" s="7"/>
      <c r="E14" s="7"/>
      <c r="F14" s="7"/>
    </row>
    <row r="15" spans="1:6">
      <c r="A15" s="3" t="s">
        <v>58</v>
      </c>
      <c r="B15" s="34">
        <v>30</v>
      </c>
      <c r="C15" s="138" t="s">
        <v>59</v>
      </c>
      <c r="E15" s="138" t="s">
        <v>60</v>
      </c>
      <c r="F15" s="139" t="s">
        <v>61</v>
      </c>
    </row>
    <row r="16" spans="1:6">
      <c r="A16" s="3" t="s">
        <v>62</v>
      </c>
      <c r="B16" s="34">
        <v>105</v>
      </c>
      <c r="C16" s="138" t="s">
        <v>59</v>
      </c>
      <c r="E16" s="138" t="s">
        <v>63</v>
      </c>
      <c r="F16" s="139" t="s">
        <v>64</v>
      </c>
    </row>
    <row r="17" spans="1:6">
      <c r="A17" s="3" t="s">
        <v>65</v>
      </c>
      <c r="B17" s="34">
        <v>180</v>
      </c>
      <c r="C17" s="138" t="s">
        <v>59</v>
      </c>
      <c r="E17" s="138" t="s">
        <v>66</v>
      </c>
      <c r="F17" s="139" t="s">
        <v>67</v>
      </c>
    </row>
    <row r="18" spans="1:6">
      <c r="A18" s="6" t="s">
        <v>68</v>
      </c>
      <c r="B18" s="32"/>
      <c r="C18" s="7"/>
      <c r="D18" s="7"/>
      <c r="E18" s="7"/>
      <c r="F18" s="7"/>
    </row>
    <row r="19" spans="1:6" ht="39">
      <c r="A19" s="3" t="s">
        <v>69</v>
      </c>
      <c r="B19" s="33">
        <v>1.3</v>
      </c>
      <c r="C19" s="138" t="s">
        <v>70</v>
      </c>
      <c r="E19" s="138" t="s">
        <v>71</v>
      </c>
      <c r="F19" s="139" t="s">
        <v>547</v>
      </c>
    </row>
    <row r="20" spans="1:6" ht="26">
      <c r="A20" s="3" t="s">
        <v>72</v>
      </c>
      <c r="B20" s="33">
        <v>1.5</v>
      </c>
      <c r="C20" s="138" t="s">
        <v>70</v>
      </c>
      <c r="E20" s="138" t="s">
        <v>73</v>
      </c>
      <c r="F20" s="139" t="s">
        <v>548</v>
      </c>
    </row>
    <row r="21" spans="1:6">
      <c r="A21" s="3" t="s">
        <v>74</v>
      </c>
      <c r="B21" s="33">
        <v>16</v>
      </c>
      <c r="C21" s="138" t="s">
        <v>48</v>
      </c>
      <c r="E21" s="138" t="s">
        <v>75</v>
      </c>
      <c r="F21" s="139" t="s">
        <v>76</v>
      </c>
    </row>
    <row r="22" spans="1:6">
      <c r="A22" s="3" t="s">
        <v>77</v>
      </c>
      <c r="B22" s="31">
        <v>90</v>
      </c>
      <c r="C22" s="138" t="s">
        <v>78</v>
      </c>
      <c r="E22" s="138" t="s">
        <v>79</v>
      </c>
      <c r="F22" s="139" t="s">
        <v>80</v>
      </c>
    </row>
    <row r="23" spans="1:6">
      <c r="A23" s="6" t="s">
        <v>81</v>
      </c>
      <c r="B23" s="32"/>
      <c r="C23" s="7"/>
      <c r="D23" s="7"/>
      <c r="E23" s="7"/>
      <c r="F23" s="7"/>
    </row>
    <row r="24" spans="1:6">
      <c r="A24" s="3" t="s">
        <v>10</v>
      </c>
      <c r="B24" s="33">
        <v>6.5</v>
      </c>
      <c r="C24" s="138" t="s">
        <v>82</v>
      </c>
      <c r="E24" s="138" t="s">
        <v>83</v>
      </c>
      <c r="F24" s="139" t="s">
        <v>84</v>
      </c>
    </row>
    <row r="25" spans="1:6">
      <c r="A25" s="3" t="s">
        <v>85</v>
      </c>
      <c r="B25" s="33">
        <v>2.4</v>
      </c>
      <c r="C25" s="138" t="s">
        <v>48</v>
      </c>
      <c r="E25" s="138" t="s">
        <v>86</v>
      </c>
      <c r="F25" s="139" t="s">
        <v>87</v>
      </c>
    </row>
    <row r="26" spans="1:6">
      <c r="A26" s="6" t="s">
        <v>88</v>
      </c>
      <c r="B26" s="32"/>
      <c r="C26" s="7"/>
      <c r="D26" s="7"/>
      <c r="E26" s="7"/>
      <c r="F26" s="7"/>
    </row>
    <row r="27" spans="1:6">
      <c r="A27" s="3" t="s">
        <v>521</v>
      </c>
      <c r="B27" s="33">
        <f>Risk!B9</f>
        <v>0.7</v>
      </c>
      <c r="C27" s="138" t="s">
        <v>522</v>
      </c>
      <c r="E27" s="130" t="s">
        <v>528</v>
      </c>
      <c r="F27" s="139" t="s">
        <v>523</v>
      </c>
    </row>
    <row r="28" spans="1:6">
      <c r="A28" s="3" t="s">
        <v>524</v>
      </c>
      <c r="B28" s="33">
        <f>Risk!C9</f>
        <v>1.8</v>
      </c>
      <c r="C28" s="138" t="s">
        <v>522</v>
      </c>
      <c r="E28" s="130" t="s">
        <v>528</v>
      </c>
      <c r="F28" s="139" t="s">
        <v>523</v>
      </c>
    </row>
    <row r="29" spans="1:6">
      <c r="A29" s="3" t="s">
        <v>525</v>
      </c>
      <c r="B29" s="33">
        <f>Risk!D9</f>
        <v>6.5</v>
      </c>
      <c r="C29" s="138" t="s">
        <v>522</v>
      </c>
      <c r="E29" s="130" t="s">
        <v>528</v>
      </c>
      <c r="F29" s="139" t="s">
        <v>523</v>
      </c>
    </row>
    <row r="30" spans="1:6" ht="26">
      <c r="A30" s="129" t="s">
        <v>526</v>
      </c>
      <c r="B30" s="127"/>
      <c r="C30" s="128"/>
      <c r="E30" s="128"/>
      <c r="F30" s="131" t="s">
        <v>527</v>
      </c>
    </row>
    <row r="31" spans="1:6">
      <c r="A31" s="6" t="s">
        <v>89</v>
      </c>
      <c r="B31" s="32"/>
      <c r="C31" s="7"/>
      <c r="D31" s="7"/>
      <c r="E31" s="7"/>
      <c r="F31" s="7"/>
    </row>
    <row r="32" spans="1:6" ht="39">
      <c r="A32" s="3" t="s">
        <v>90</v>
      </c>
      <c r="B32" s="33">
        <v>14</v>
      </c>
      <c r="C32" s="138" t="s">
        <v>48</v>
      </c>
      <c r="E32" s="138" t="s">
        <v>91</v>
      </c>
      <c r="F32" s="139" t="s">
        <v>549</v>
      </c>
    </row>
    <row r="33" spans="1:6">
      <c r="A33" s="6" t="s">
        <v>92</v>
      </c>
      <c r="B33" s="32"/>
      <c r="C33" s="7"/>
      <c r="D33" s="7"/>
      <c r="E33" s="7"/>
      <c r="F33" s="7"/>
    </row>
    <row r="34" spans="1:6">
      <c r="A34" s="3" t="s">
        <v>93</v>
      </c>
      <c r="B34" s="31">
        <v>1.67</v>
      </c>
      <c r="C34" s="138" t="s">
        <v>94</v>
      </c>
      <c r="E34" s="138" t="s">
        <v>95</v>
      </c>
      <c r="F34" s="139" t="s">
        <v>96</v>
      </c>
    </row>
    <row r="35" spans="1:6">
      <c r="A35" s="3" t="s">
        <v>97</v>
      </c>
      <c r="B35" s="31">
        <v>1.25</v>
      </c>
      <c r="C35" s="138" t="s">
        <v>94</v>
      </c>
      <c r="E35" s="138" t="s">
        <v>98</v>
      </c>
      <c r="F35" s="139" t="s">
        <v>99</v>
      </c>
    </row>
    <row r="36" spans="1:6">
      <c r="A36" s="3" t="s">
        <v>100</v>
      </c>
      <c r="B36" s="8">
        <v>1</v>
      </c>
      <c r="C36" s="138" t="s">
        <v>94</v>
      </c>
      <c r="E36" s="138" t="s">
        <v>101</v>
      </c>
      <c r="F36" s="139" t="s">
        <v>102</v>
      </c>
    </row>
    <row r="37" spans="1:6">
      <c r="A37" s="37" t="s">
        <v>230</v>
      </c>
      <c r="B37" s="38">
        <v>8000</v>
      </c>
      <c r="C37" s="140" t="s">
        <v>33</v>
      </c>
      <c r="E37" s="138" t="s">
        <v>231</v>
      </c>
      <c r="F37" s="139" t="s">
        <v>232</v>
      </c>
    </row>
    <row r="38" spans="1:6">
      <c r="A38" s="37" t="s">
        <v>233</v>
      </c>
      <c r="B38" s="38">
        <v>13000</v>
      </c>
      <c r="C38" s="140" t="s">
        <v>33</v>
      </c>
      <c r="E38" s="138" t="s">
        <v>234</v>
      </c>
      <c r="F38" s="139" t="s">
        <v>235</v>
      </c>
    </row>
    <row r="39" spans="1:6">
      <c r="A39" s="37" t="s">
        <v>236</v>
      </c>
      <c r="B39" s="38">
        <v>0.95</v>
      </c>
      <c r="C39" s="140" t="s">
        <v>94</v>
      </c>
      <c r="E39" s="138" t="s">
        <v>237</v>
      </c>
      <c r="F39" s="139" t="s">
        <v>238</v>
      </c>
    </row>
    <row r="40" spans="1:6">
      <c r="A40" s="37" t="s">
        <v>239</v>
      </c>
      <c r="B40" s="38">
        <v>0.92</v>
      </c>
      <c r="C40" s="140" t="s">
        <v>94</v>
      </c>
      <c r="E40" s="138" t="s">
        <v>240</v>
      </c>
      <c r="F40" s="139" t="s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C09A"/>
  </sheetPr>
  <dimension ref="A1:H13"/>
  <sheetViews>
    <sheetView workbookViewId="0">
      <pane ySplit="4" topLeftCell="A5" activePane="bottomLeft" state="frozen"/>
      <selection pane="bottomLeft" activeCell="H13" activeCellId="3" sqref="A2 H5:H6 H9:H11 H13"/>
    </sheetView>
  </sheetViews>
  <sheetFormatPr baseColWidth="10" defaultColWidth="8.83203125" defaultRowHeight="15"/>
  <cols>
    <col min="1" max="1" width="40" customWidth="1"/>
    <col min="2" max="6" width="16" customWidth="1"/>
  </cols>
  <sheetData>
    <row r="1" spans="1:8" ht="23">
      <c r="A1" s="1" t="s">
        <v>103</v>
      </c>
    </row>
    <row r="2" spans="1:8">
      <c r="A2" s="138" t="s">
        <v>104</v>
      </c>
    </row>
    <row r="4" spans="1:8">
      <c r="A4" s="5" t="s">
        <v>105</v>
      </c>
      <c r="B4" s="5" t="s">
        <v>106</v>
      </c>
      <c r="C4" s="5" t="s">
        <v>107</v>
      </c>
      <c r="D4" s="5" t="s">
        <v>108</v>
      </c>
      <c r="E4" s="39" t="s">
        <v>242</v>
      </c>
      <c r="F4" s="39" t="s">
        <v>243</v>
      </c>
      <c r="H4" s="5" t="s">
        <v>109</v>
      </c>
    </row>
    <row r="5" spans="1:8">
      <c r="A5" s="3" t="s">
        <v>110</v>
      </c>
      <c r="B5" s="9">
        <f>disb_y1</f>
        <v>250</v>
      </c>
      <c r="C5" s="9">
        <f>disb_y2</f>
        <v>1500</v>
      </c>
      <c r="D5" s="9">
        <f>disb_y3</f>
        <v>4000</v>
      </c>
      <c r="E5" s="40">
        <f>disb_y4</f>
        <v>8000</v>
      </c>
      <c r="F5" s="40">
        <f>disb_y5</f>
        <v>13000</v>
      </c>
      <c r="H5" s="138" t="s">
        <v>33</v>
      </c>
    </row>
    <row r="6" spans="1:8">
      <c r="A6" s="3" t="s">
        <v>111</v>
      </c>
      <c r="B6" s="18">
        <f>disb_y1*advance_rate/100</f>
        <v>225</v>
      </c>
      <c r="C6" s="18">
        <f>disb_y2*advance_rate/100</f>
        <v>1350</v>
      </c>
      <c r="D6" s="18">
        <f>disb_y3*advance_rate/100</f>
        <v>3600</v>
      </c>
      <c r="E6" s="41">
        <f>disb_y4*advance_rate/100</f>
        <v>7200</v>
      </c>
      <c r="F6" s="41">
        <f>disb_y5*advance_rate/100</f>
        <v>11700</v>
      </c>
      <c r="H6" s="138" t="s">
        <v>112</v>
      </c>
    </row>
    <row r="7" spans="1:8">
      <c r="B7" s="19"/>
      <c r="C7" s="19"/>
      <c r="D7" s="19"/>
    </row>
    <row r="8" spans="1:8">
      <c r="A8" s="2" t="s">
        <v>113</v>
      </c>
    </row>
    <row r="9" spans="1:8">
      <c r="A9" s="3" t="s">
        <v>114</v>
      </c>
      <c r="B9" s="18">
        <f>disb_y1*advance_rate/100*tenor_pay30/365*mix_pay30/100</f>
        <v>7.397260273972603</v>
      </c>
      <c r="C9" s="18">
        <f>disb_y2*advance_rate/100*tenor_pay30/365*mix_pay30/100</f>
        <v>44.38356164383562</v>
      </c>
      <c r="D9" s="18">
        <f>disb_y3*advance_rate/100*tenor_pay30/365*mix_pay30/100</f>
        <v>118.35616438356165</v>
      </c>
      <c r="E9" s="41">
        <f>disb_y4*advance_rate/100*tenor_pay30/365*mix_pay30/100</f>
        <v>236.7123287671233</v>
      </c>
      <c r="F9" s="41">
        <f>disb_y5*advance_rate/100*tenor_pay30/365*mix_pay30/100</f>
        <v>384.65753424657532</v>
      </c>
      <c r="H9" s="138" t="s">
        <v>115</v>
      </c>
    </row>
    <row r="10" spans="1:8">
      <c r="A10" s="3" t="s">
        <v>116</v>
      </c>
      <c r="B10" s="18">
        <f>disb_y1*advance_rate/100*tenor_bnpl/365*mix_bnpl/100</f>
        <v>32.363013698630134</v>
      </c>
      <c r="C10" s="18">
        <f>disb_y2*advance_rate/100*tenor_bnpl/365*mix_bnpl/100</f>
        <v>194.17808219178082</v>
      </c>
      <c r="D10" s="18">
        <f>disb_y3*advance_rate/100*tenor_bnpl/365*mix_bnpl/100</f>
        <v>517.80821917808214</v>
      </c>
      <c r="E10" s="41">
        <f>disb_y4*advance_rate/100*tenor_bnpl/365*mix_bnpl/100</f>
        <v>1035.6164383561643</v>
      </c>
      <c r="F10" s="41">
        <f>disb_y5*advance_rate/100*tenor_bnpl/365*mix_bnpl/100</f>
        <v>1682.8767123287671</v>
      </c>
      <c r="H10" s="138" t="s">
        <v>117</v>
      </c>
    </row>
    <row r="11" spans="1:8">
      <c r="A11" s="3" t="s">
        <v>118</v>
      </c>
      <c r="B11" s="18">
        <f>disb_y1*advance_rate/100*tenor_ext/365*mix_ext/100</f>
        <v>11.095890410958905</v>
      </c>
      <c r="C11" s="18">
        <f>disb_y2*advance_rate/100*tenor_ext/365*mix_ext/100</f>
        <v>66.575342465753423</v>
      </c>
      <c r="D11" s="18">
        <f>disb_y3*advance_rate/100*tenor_ext/365*mix_ext/100</f>
        <v>177.53424657534248</v>
      </c>
      <c r="E11" s="41">
        <f>disb_y4*advance_rate/100*tenor_ext/365*mix_ext/100</f>
        <v>355.06849315068496</v>
      </c>
      <c r="F11" s="41">
        <f>disb_y5*advance_rate/100*tenor_ext/365*mix_ext/100</f>
        <v>576.9863013698631</v>
      </c>
      <c r="H11" s="138" t="s">
        <v>119</v>
      </c>
    </row>
    <row r="13" spans="1:8">
      <c r="A13" s="2" t="s">
        <v>120</v>
      </c>
      <c r="B13" s="18">
        <f>SUM(B9:B11)</f>
        <v>50.856164383561648</v>
      </c>
      <c r="C13" s="18">
        <f>SUM(C9:C11)</f>
        <v>305.13698630136986</v>
      </c>
      <c r="D13" s="18">
        <f>SUM(D9:D11)</f>
        <v>813.69863013698637</v>
      </c>
      <c r="E13" s="41">
        <f>SUM(E9:E11)</f>
        <v>1627.3972602739727</v>
      </c>
      <c r="F13" s="41">
        <f>SUM(F9:F11)</f>
        <v>2644.5205479452056</v>
      </c>
      <c r="H13" s="138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FBEB-179D-9449-859A-3CC30BAD9D6A}">
  <sheetPr>
    <tabColor rgb="FFA8C09A"/>
  </sheetPr>
  <dimension ref="A1:H15"/>
  <sheetViews>
    <sheetView workbookViewId="0">
      <pane ySplit="4" topLeftCell="A5" activePane="bottomLeft" state="frozen"/>
      <selection pane="bottomLeft" activeCell="E41" sqref="E41"/>
    </sheetView>
  </sheetViews>
  <sheetFormatPr baseColWidth="10" defaultRowHeight="15"/>
  <cols>
    <col min="1" max="1" width="30" customWidth="1"/>
    <col min="2" max="6" width="12.5" customWidth="1"/>
    <col min="7" max="7" width="15.83203125" customWidth="1"/>
    <col min="8" max="8" width="46.6640625" customWidth="1"/>
  </cols>
  <sheetData>
    <row r="1" spans="1:8" ht="16">
      <c r="A1" s="42" t="s">
        <v>244</v>
      </c>
    </row>
    <row r="2" spans="1:8">
      <c r="A2" s="43" t="s">
        <v>245</v>
      </c>
    </row>
    <row r="4" spans="1:8">
      <c r="A4" s="45" t="s">
        <v>159</v>
      </c>
      <c r="B4" s="45" t="s">
        <v>106</v>
      </c>
      <c r="C4" s="45" t="s">
        <v>107</v>
      </c>
      <c r="D4" s="45" t="s">
        <v>108</v>
      </c>
      <c r="E4" s="45" t="s">
        <v>242</v>
      </c>
      <c r="F4" s="45" t="s">
        <v>243</v>
      </c>
      <c r="G4" s="45" t="s">
        <v>246</v>
      </c>
      <c r="H4" s="45" t="s">
        <v>109</v>
      </c>
    </row>
    <row r="5" spans="1:8">
      <c r="A5" t="s">
        <v>247</v>
      </c>
      <c r="B5" s="19">
        <f>disb_y1</f>
        <v>250</v>
      </c>
      <c r="C5" s="19">
        <f>disb_y2</f>
        <v>1500</v>
      </c>
      <c r="D5" s="19">
        <f>disb_y3</f>
        <v>4000</v>
      </c>
      <c r="E5" s="19">
        <f>disb_y4</f>
        <v>8000</v>
      </c>
      <c r="F5" s="19">
        <f>disb_y5</f>
        <v>13000</v>
      </c>
      <c r="G5" s="48">
        <f>(F5/B5)^(1/4)-1</f>
        <v>1.6853496142826505</v>
      </c>
      <c r="H5" t="s">
        <v>248</v>
      </c>
    </row>
    <row r="6" spans="1:8">
      <c r="A6" t="s">
        <v>249</v>
      </c>
      <c r="C6" s="47">
        <f>C5/B5-1</f>
        <v>5</v>
      </c>
      <c r="D6" s="47">
        <f>D5/C5-1</f>
        <v>1.6666666666666665</v>
      </c>
      <c r="E6" s="47">
        <f>E5/D5-1</f>
        <v>1</v>
      </c>
      <c r="F6" s="47">
        <f>F5/E5-1</f>
        <v>0.625</v>
      </c>
      <c r="H6" t="s">
        <v>250</v>
      </c>
    </row>
    <row r="8" spans="1:8">
      <c r="A8" t="s">
        <v>111</v>
      </c>
      <c r="B8" s="19">
        <f>B5*advance_rate/100</f>
        <v>225</v>
      </c>
      <c r="C8" s="19">
        <f>C5*advance_rate/100</f>
        <v>1350</v>
      </c>
      <c r="D8" s="19">
        <f>D5*advance_rate/100</f>
        <v>3600</v>
      </c>
      <c r="E8" s="19">
        <f>E5*advance_rate/100</f>
        <v>7200</v>
      </c>
      <c r="F8" s="19">
        <f>F5*advance_rate/100</f>
        <v>11700</v>
      </c>
      <c r="G8" s="48">
        <f>(F8/B8)^(1/4)-1</f>
        <v>1.6853496142826505</v>
      </c>
      <c r="H8" s="46" t="s">
        <v>251</v>
      </c>
    </row>
    <row r="10" spans="1:8">
      <c r="A10" s="44" t="s">
        <v>120</v>
      </c>
      <c r="B10" s="49">
        <f>'Volume &amp; Mix'!B13</f>
        <v>50.856164383561648</v>
      </c>
      <c r="C10" s="49">
        <f>'Volume &amp; Mix'!C13</f>
        <v>305.13698630136986</v>
      </c>
      <c r="D10" s="49">
        <f>'Volume &amp; Mix'!D13</f>
        <v>813.69863013698637</v>
      </c>
      <c r="E10" s="49">
        <f>'Volume &amp; Mix'!E13</f>
        <v>1627.3972602739727</v>
      </c>
      <c r="F10" s="51">
        <f>'Volume &amp; Mix'!F13</f>
        <v>2644.5205479452056</v>
      </c>
      <c r="G10" s="50">
        <f>(F10/B10)^(1/4)-1</f>
        <v>1.6853496142826505</v>
      </c>
      <c r="H10" t="s">
        <v>252</v>
      </c>
    </row>
    <row r="12" spans="1:8">
      <c r="A12" s="45" t="s">
        <v>253</v>
      </c>
    </row>
    <row r="13" spans="1:8">
      <c r="A13" t="s">
        <v>254</v>
      </c>
      <c r="B13" s="47">
        <f>'Volume &amp; Mix'!B9/'Volume &amp; Mix'!B13</f>
        <v>0.14545454545454545</v>
      </c>
      <c r="C13" s="47">
        <f>'Volume &amp; Mix'!C9/'Volume &amp; Mix'!C13</f>
        <v>0.14545454545454548</v>
      </c>
      <c r="D13" s="47">
        <f>'Volume &amp; Mix'!D9/'Volume &amp; Mix'!D13</f>
        <v>0.14545454545454545</v>
      </c>
      <c r="E13" s="47">
        <f>'Volume &amp; Mix'!E9/'Volume &amp; Mix'!E13</f>
        <v>0.14545454545454545</v>
      </c>
      <c r="F13" s="47">
        <f>'Volume &amp; Mix'!F9/'Volume &amp; Mix'!F13</f>
        <v>0.14545454545454545</v>
      </c>
      <c r="H13" t="s">
        <v>255</v>
      </c>
    </row>
    <row r="14" spans="1:8">
      <c r="A14" t="s">
        <v>256</v>
      </c>
      <c r="B14" s="47">
        <f>'Volume &amp; Mix'!B10/'Volume &amp; Mix'!B13</f>
        <v>0.63636363636363624</v>
      </c>
      <c r="C14" s="47">
        <f>'Volume &amp; Mix'!C10/'Volume &amp; Mix'!C13</f>
        <v>0.63636363636363635</v>
      </c>
      <c r="D14" s="47">
        <f>'Volume &amp; Mix'!D10/'Volume &amp; Mix'!D13</f>
        <v>0.63636363636363624</v>
      </c>
      <c r="E14" s="47">
        <f>'Volume &amp; Mix'!E10/'Volume &amp; Mix'!E13</f>
        <v>0.63636363636363624</v>
      </c>
      <c r="F14" s="47">
        <f>'Volume &amp; Mix'!F10/'Volume &amp; Mix'!F13</f>
        <v>0.63636363636363635</v>
      </c>
      <c r="H14" t="s">
        <v>257</v>
      </c>
    </row>
    <row r="15" spans="1:8">
      <c r="A15" t="s">
        <v>258</v>
      </c>
      <c r="B15" s="47">
        <f>'Volume &amp; Mix'!B11/'Volume &amp; Mix'!B13</f>
        <v>0.21818181818181817</v>
      </c>
      <c r="C15" s="47">
        <f>'Volume &amp; Mix'!C11/'Volume &amp; Mix'!C13</f>
        <v>0.21818181818181817</v>
      </c>
      <c r="D15" s="47">
        <f>'Volume &amp; Mix'!D11/'Volume &amp; Mix'!D13</f>
        <v>0.21818181818181817</v>
      </c>
      <c r="E15" s="47">
        <f>'Volume &amp; Mix'!E11/'Volume &amp; Mix'!E13</f>
        <v>0.21818181818181817</v>
      </c>
      <c r="F15" s="47">
        <f>'Volume &amp; Mix'!F11/'Volume &amp; Mix'!F13</f>
        <v>0.2181818181818182</v>
      </c>
      <c r="H15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913E-E757-9943-9FB8-5466178BBD3B}">
  <sheetPr>
    <tabColor rgb="FFA8C09A"/>
  </sheetPr>
  <dimension ref="A1:F10"/>
  <sheetViews>
    <sheetView zoomScale="120" zoomScaleNormal="120" workbookViewId="0">
      <pane ySplit="4" topLeftCell="A5" activePane="bottomLeft" state="frozen"/>
      <selection pane="bottomLeft" activeCell="D5" sqref="D5"/>
    </sheetView>
  </sheetViews>
  <sheetFormatPr baseColWidth="10" defaultRowHeight="15"/>
  <cols>
    <col min="1" max="1" width="36.6640625" customWidth="1"/>
    <col min="2" max="5" width="18.33203125" customWidth="1"/>
    <col min="6" max="6" width="60" customWidth="1"/>
  </cols>
  <sheetData>
    <row r="1" spans="1:6" ht="16">
      <c r="A1" s="42" t="s">
        <v>260</v>
      </c>
    </row>
    <row r="2" spans="1:6">
      <c r="A2" s="43" t="s">
        <v>261</v>
      </c>
    </row>
    <row r="4" spans="1:6">
      <c r="A4" s="45" t="s">
        <v>262</v>
      </c>
      <c r="B4" s="45" t="s">
        <v>175</v>
      </c>
      <c r="C4" s="45" t="s">
        <v>176</v>
      </c>
      <c r="D4" s="45" t="s">
        <v>263</v>
      </c>
      <c r="E4" s="45" t="s">
        <v>264</v>
      </c>
      <c r="F4" s="45" t="s">
        <v>265</v>
      </c>
    </row>
    <row r="5" spans="1:6">
      <c r="A5" s="44" t="s">
        <v>266</v>
      </c>
      <c r="B5" s="60">
        <v>2</v>
      </c>
      <c r="C5" s="60">
        <v>4</v>
      </c>
      <c r="D5" s="60">
        <v>10</v>
      </c>
      <c r="E5" s="56">
        <f>B5*1.5</f>
        <v>3</v>
      </c>
      <c r="F5" t="s">
        <v>267</v>
      </c>
    </row>
    <row r="6" spans="1:6">
      <c r="A6" s="44" t="s">
        <v>268</v>
      </c>
      <c r="B6" s="60">
        <v>35</v>
      </c>
      <c r="C6" s="60">
        <v>45</v>
      </c>
      <c r="D6" s="60">
        <v>65</v>
      </c>
      <c r="E6" s="52" t="s">
        <v>269</v>
      </c>
      <c r="F6" t="s">
        <v>270</v>
      </c>
    </row>
    <row r="7" spans="1:6">
      <c r="A7" s="44" t="s">
        <v>271</v>
      </c>
      <c r="B7" s="60">
        <v>100</v>
      </c>
      <c r="C7" s="60">
        <v>100</v>
      </c>
      <c r="D7" s="60">
        <v>100</v>
      </c>
      <c r="E7" s="52" t="s">
        <v>269</v>
      </c>
      <c r="F7" t="s">
        <v>272</v>
      </c>
    </row>
    <row r="9" spans="1:6">
      <c r="A9" s="53" t="s">
        <v>273</v>
      </c>
      <c r="B9" s="57">
        <f>B5*B6/100*B7/100</f>
        <v>0.7</v>
      </c>
      <c r="C9" s="57">
        <f>C5*C6/100*C7/100</f>
        <v>1.8</v>
      </c>
      <c r="D9" s="57">
        <f>D5*D6/100*D7/100</f>
        <v>6.5</v>
      </c>
      <c r="E9" s="54" t="s">
        <v>274</v>
      </c>
      <c r="F9" s="46" t="s">
        <v>275</v>
      </c>
    </row>
    <row r="10" spans="1:6">
      <c r="A10" s="55" t="s">
        <v>276</v>
      </c>
      <c r="B10" s="58">
        <f>E5*B6/100*B7/100</f>
        <v>1.05</v>
      </c>
      <c r="C10" s="58">
        <f>C5*1.5*C6/100*C7/100</f>
        <v>2.7</v>
      </c>
      <c r="D10" s="58">
        <f>D5*1.5*D6/100*D7/100</f>
        <v>9.75</v>
      </c>
      <c r="F10" t="s">
        <v>277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1A28"/>
  </sheetPr>
  <dimension ref="A1:H28"/>
  <sheetViews>
    <sheetView workbookViewId="0">
      <pane ySplit="4" topLeftCell="A5" activePane="bottomLeft" state="frozen"/>
      <selection pane="bottomLeft" activeCell="K58" sqref="K58"/>
    </sheetView>
  </sheetViews>
  <sheetFormatPr baseColWidth="10" defaultColWidth="8.83203125" defaultRowHeight="15"/>
  <cols>
    <col min="1" max="1" width="40" customWidth="1"/>
    <col min="2" max="6" width="16" customWidth="1"/>
  </cols>
  <sheetData>
    <row r="1" spans="1:8" ht="23">
      <c r="A1" s="1" t="s">
        <v>122</v>
      </c>
    </row>
    <row r="2" spans="1:8">
      <c r="A2" s="138" t="s">
        <v>123</v>
      </c>
    </row>
    <row r="4" spans="1:8">
      <c r="A4" s="5" t="s">
        <v>124</v>
      </c>
      <c r="B4" s="5" t="s">
        <v>106</v>
      </c>
      <c r="C4" s="5" t="s">
        <v>107</v>
      </c>
      <c r="D4" s="5" t="s">
        <v>108</v>
      </c>
      <c r="E4" s="5" t="s">
        <v>242</v>
      </c>
      <c r="F4" s="5" t="s">
        <v>243</v>
      </c>
      <c r="H4" t="s">
        <v>125</v>
      </c>
    </row>
    <row r="5" spans="1:8">
      <c r="A5" s="3" t="s">
        <v>126</v>
      </c>
      <c r="B5" s="18">
        <f>'Volume &amp; Mix'!B9</f>
        <v>7.397260273972603</v>
      </c>
      <c r="C5" s="18">
        <f>'Volume &amp; Mix'!C9</f>
        <v>44.38356164383562</v>
      </c>
      <c r="D5" s="18">
        <f>'Volume &amp; Mix'!D9</f>
        <v>118.35616438356165</v>
      </c>
      <c r="E5" s="19">
        <f>'Volume &amp; Mix'!E9</f>
        <v>236.7123287671233</v>
      </c>
      <c r="F5" s="141">
        <f>'Volume &amp; Mix'!F9</f>
        <v>384.65753424657532</v>
      </c>
      <c r="H5" t="s">
        <v>127</v>
      </c>
    </row>
    <row r="6" spans="1:8">
      <c r="A6" s="3" t="s">
        <v>128</v>
      </c>
      <c r="B6" s="21">
        <f>fee_pay30_mo*12</f>
        <v>15.600000000000001</v>
      </c>
      <c r="C6" s="21">
        <f>fee_pay30_mo*12</f>
        <v>15.600000000000001</v>
      </c>
      <c r="D6" s="21">
        <f>fee_pay30_mo*12</f>
        <v>15.600000000000001</v>
      </c>
      <c r="E6" s="22">
        <f>fee_pay30_mo*12</f>
        <v>15.600000000000001</v>
      </c>
      <c r="F6" s="142">
        <f>fee_pay30_mo*12</f>
        <v>15.600000000000001</v>
      </c>
      <c r="H6" t="s">
        <v>129</v>
      </c>
    </row>
    <row r="7" spans="1:8">
      <c r="A7" s="3" t="s">
        <v>130</v>
      </c>
      <c r="B7" s="18">
        <f>B5*B6/100</f>
        <v>1.1539726027397261</v>
      </c>
      <c r="C7" s="18">
        <f>C5*C6/100</f>
        <v>6.9238356164383568</v>
      </c>
      <c r="D7" s="18">
        <f>D5*D6/100</f>
        <v>18.463561643835618</v>
      </c>
      <c r="E7" s="19">
        <f>E5*E6/100</f>
        <v>36.927123287671236</v>
      </c>
      <c r="F7" s="141">
        <f>F5*F6/100</f>
        <v>60.006575342465759</v>
      </c>
      <c r="H7" t="s">
        <v>131</v>
      </c>
    </row>
    <row r="9" spans="1:8">
      <c r="A9" s="3" t="s">
        <v>132</v>
      </c>
      <c r="B9" s="21">
        <f>cof_apr</f>
        <v>6.5</v>
      </c>
      <c r="C9" s="21">
        <f>cof_apr</f>
        <v>6.5</v>
      </c>
      <c r="D9" s="21">
        <f>cof_apr</f>
        <v>6.5</v>
      </c>
      <c r="E9" s="22">
        <f>cof_apr</f>
        <v>6.5</v>
      </c>
      <c r="F9" s="21">
        <f>cof_apr</f>
        <v>6.5</v>
      </c>
    </row>
    <row r="10" spans="1:8">
      <c r="A10" s="3" t="s">
        <v>133</v>
      </c>
      <c r="B10" s="18">
        <f>B5*B9/100</f>
        <v>0.4808219178082192</v>
      </c>
      <c r="C10" s="18">
        <f>C5*C9/100</f>
        <v>2.8849315068493153</v>
      </c>
      <c r="D10" s="18">
        <f>D5*D9/100</f>
        <v>7.6931506849315072</v>
      </c>
      <c r="E10" s="19">
        <f>E5*E9/100</f>
        <v>15.386301369863014</v>
      </c>
      <c r="F10" s="141">
        <f>F5*F9/100</f>
        <v>25.002739726027393</v>
      </c>
      <c r="H10" t="s">
        <v>134</v>
      </c>
    </row>
    <row r="12" spans="1:8">
      <c r="A12" s="2" t="s">
        <v>135</v>
      </c>
      <c r="B12" s="18">
        <f>B7-B10</f>
        <v>0.67315068493150698</v>
      </c>
      <c r="C12" s="18">
        <f>C7-C10</f>
        <v>4.0389041095890414</v>
      </c>
      <c r="D12" s="18">
        <f>D7-D10</f>
        <v>10.770410958904112</v>
      </c>
      <c r="E12" s="19">
        <f>E7-E10</f>
        <v>21.540821917808223</v>
      </c>
      <c r="F12" s="141">
        <f>F7-F10</f>
        <v>35.003835616438366</v>
      </c>
      <c r="H12" t="s">
        <v>136</v>
      </c>
    </row>
    <row r="14" spans="1:8">
      <c r="A14" s="3" t="s">
        <v>278</v>
      </c>
      <c r="B14" s="21">
        <f>pd_pay30</f>
        <v>2</v>
      </c>
      <c r="C14" s="21">
        <f>pd_pay30</f>
        <v>2</v>
      </c>
      <c r="D14" s="21">
        <f>pd_pay30</f>
        <v>2</v>
      </c>
      <c r="E14" s="22">
        <f>pd_pay30</f>
        <v>2</v>
      </c>
      <c r="F14" s="21">
        <f>pd_pay30</f>
        <v>2</v>
      </c>
      <c r="H14" t="s">
        <v>280</v>
      </c>
    </row>
    <row r="15" spans="1:8">
      <c r="A15" s="3" t="s">
        <v>279</v>
      </c>
      <c r="B15" s="21">
        <f>lgd_pay30</f>
        <v>35</v>
      </c>
      <c r="C15" s="21">
        <f>lgd_pay30</f>
        <v>35</v>
      </c>
      <c r="D15" s="21">
        <f>lgd_pay30</f>
        <v>35</v>
      </c>
      <c r="E15" s="22">
        <f>lgd_pay30</f>
        <v>35</v>
      </c>
      <c r="F15" s="21">
        <f>lgd_pay30</f>
        <v>35</v>
      </c>
      <c r="H15" t="s">
        <v>281</v>
      </c>
    </row>
    <row r="16" spans="1:8">
      <c r="A16" s="3" t="s">
        <v>273</v>
      </c>
      <c r="B16" s="18">
        <f>B14*B15/100*ead_pay30/100</f>
        <v>0.7</v>
      </c>
      <c r="C16" s="18">
        <f>C14*C15/100*ead_pay30/100</f>
        <v>0.7</v>
      </c>
      <c r="D16" s="18">
        <f>D14*D15/100*ead_pay30/100</f>
        <v>0.7</v>
      </c>
      <c r="E16" s="23">
        <f>E14*E15/100*ead_pay30/100</f>
        <v>0.7</v>
      </c>
      <c r="F16" s="143">
        <f>F14*F15/100*ead_pay30/100</f>
        <v>0.7</v>
      </c>
      <c r="H16" t="s">
        <v>282</v>
      </c>
    </row>
    <row r="17" spans="1:8">
      <c r="A17" s="3" t="s">
        <v>137</v>
      </c>
      <c r="B17" s="9">
        <f>B5*B16/100</f>
        <v>5.1780821917808223E-2</v>
      </c>
      <c r="C17" s="9">
        <f>C5*C16/100</f>
        <v>0.31068493150684934</v>
      </c>
      <c r="D17" s="9">
        <f>D5*D16/100</f>
        <v>0.82849315068493157</v>
      </c>
      <c r="E17" s="19">
        <f>E5*E16/100</f>
        <v>1.6569863013698631</v>
      </c>
      <c r="F17" s="141">
        <f>F5*F16/100</f>
        <v>2.692602739726027</v>
      </c>
      <c r="H17" t="s">
        <v>138</v>
      </c>
    </row>
    <row r="18" spans="1:8">
      <c r="B18" s="19"/>
      <c r="C18" s="19"/>
      <c r="D18" s="19"/>
    </row>
    <row r="19" spans="1:8">
      <c r="A19" s="2" t="s">
        <v>139</v>
      </c>
      <c r="B19" s="9">
        <f>B12-B17</f>
        <v>0.62136986301369879</v>
      </c>
      <c r="C19" s="9">
        <f>C12-C17</f>
        <v>3.7282191780821923</v>
      </c>
      <c r="D19" s="9">
        <f>D12-D17</f>
        <v>9.9419178082191806</v>
      </c>
      <c r="E19" s="19">
        <f>E12-E17</f>
        <v>19.883835616438361</v>
      </c>
      <c r="F19" s="141">
        <f>F12-F17</f>
        <v>32.311232876712339</v>
      </c>
      <c r="H19" t="s">
        <v>140</v>
      </c>
    </row>
    <row r="20" spans="1:8">
      <c r="B20" s="22"/>
      <c r="C20" s="22"/>
      <c r="D20" s="22"/>
    </row>
    <row r="21" spans="1:8">
      <c r="A21" s="3" t="s">
        <v>531</v>
      </c>
      <c r="B21" s="18">
        <f>opex_pct*opex_y1_mult</f>
        <v>4.008</v>
      </c>
      <c r="C21" s="18">
        <f>opex_pct*opex_y2_mult</f>
        <v>3</v>
      </c>
      <c r="D21" s="18">
        <f>opex_pct*opex_y3_mult</f>
        <v>2.4</v>
      </c>
      <c r="E21" s="22">
        <f>opex_pct*opex_y4_mult</f>
        <v>2.2799999999999998</v>
      </c>
      <c r="F21" s="142">
        <f>opex_pct*opex_y5_mult</f>
        <v>2.2080000000000002</v>
      </c>
      <c r="H21" t="s">
        <v>141</v>
      </c>
    </row>
    <row r="22" spans="1:8">
      <c r="A22" s="3" t="s">
        <v>142</v>
      </c>
      <c r="B22" s="21">
        <f>B5*B21/100</f>
        <v>0.29648219178082191</v>
      </c>
      <c r="C22" s="21">
        <f>C5*C21/100</f>
        <v>1.3315068493150688</v>
      </c>
      <c r="D22" s="21">
        <f>D5*D21/100</f>
        <v>2.8405479452054796</v>
      </c>
      <c r="E22" s="19">
        <f>E5*E21/100</f>
        <v>5.3970410958904109</v>
      </c>
      <c r="F22" s="141">
        <f>F5*F21/100</f>
        <v>8.4932383561643832</v>
      </c>
      <c r="H22" t="s">
        <v>143</v>
      </c>
    </row>
    <row r="23" spans="1:8">
      <c r="B23" s="23"/>
      <c r="C23" s="23"/>
      <c r="D23" s="23"/>
    </row>
    <row r="24" spans="1:8">
      <c r="A24" s="2" t="s">
        <v>144</v>
      </c>
      <c r="B24" s="10">
        <f>B19-B22</f>
        <v>0.32488767123287687</v>
      </c>
      <c r="C24" s="10">
        <f>C19-C22</f>
        <v>2.3967123287671237</v>
      </c>
      <c r="D24" s="10">
        <f>D19-D22</f>
        <v>7.1013698630137014</v>
      </c>
      <c r="E24" s="19">
        <f>E19-E22</f>
        <v>14.486794520547949</v>
      </c>
      <c r="F24" s="141">
        <f>F19-F22</f>
        <v>23.817994520547956</v>
      </c>
      <c r="H24" t="s">
        <v>145</v>
      </c>
    </row>
    <row r="25" spans="1:8">
      <c r="A25" s="3" t="s">
        <v>146</v>
      </c>
      <c r="B25" s="20">
        <f>B24/B5*100</f>
        <v>4.3920000000000021</v>
      </c>
      <c r="C25" s="20">
        <f>C24/C5*100</f>
        <v>5.4</v>
      </c>
      <c r="D25" s="20">
        <f>D24/D5*100</f>
        <v>6.0000000000000018</v>
      </c>
      <c r="E25" s="22">
        <f>E24/E5*100</f>
        <v>6.1200000000000019</v>
      </c>
      <c r="F25" s="142">
        <f>F24/F5*100</f>
        <v>6.1920000000000028</v>
      </c>
      <c r="H25" t="s">
        <v>147</v>
      </c>
    </row>
    <row r="26" spans="1:8">
      <c r="B26" s="22"/>
      <c r="C26" s="22"/>
      <c r="D26" s="22"/>
    </row>
    <row r="27" spans="1:8">
      <c r="A27" s="3" t="s">
        <v>148</v>
      </c>
      <c r="B27" s="9">
        <f>B5*equity_pct/100</f>
        <v>1.0356164383561643</v>
      </c>
      <c r="C27" s="9">
        <f>C5*equity_pct/100</f>
        <v>6.213698630136987</v>
      </c>
      <c r="D27" s="9">
        <f>D5*equity_pct/100</f>
        <v>16.56986301369863</v>
      </c>
      <c r="E27" s="19">
        <f>E5*equity_pct/100</f>
        <v>33.139726027397259</v>
      </c>
      <c r="F27" s="141">
        <f>F5*equity_pct/100</f>
        <v>53.852054794520548</v>
      </c>
      <c r="H27" t="s">
        <v>149</v>
      </c>
    </row>
    <row r="28" spans="1:8">
      <c r="A28" s="3" t="s">
        <v>150</v>
      </c>
      <c r="B28" s="11">
        <f>IF(B27&gt;0,B24/B27*100,0)</f>
        <v>31.371428571428588</v>
      </c>
      <c r="C28" s="11">
        <f>IF(C27&gt;0,C24/C27*100,0)</f>
        <v>38.571428571428577</v>
      </c>
      <c r="D28" s="11">
        <f>IF(D27&gt;0,D24/D27*100,0)</f>
        <v>42.857142857142875</v>
      </c>
      <c r="E28" s="22">
        <f>IF(E27&gt;0,E24/E27*100,0)</f>
        <v>43.71428571428573</v>
      </c>
      <c r="F28" s="142">
        <f>IF(F27&gt;0,F24/F27*100,0)</f>
        <v>44.228571428571449</v>
      </c>
      <c r="H28" t="s">
        <v>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1A28"/>
  </sheetPr>
  <dimension ref="A1:H28"/>
  <sheetViews>
    <sheetView workbookViewId="0">
      <pane ySplit="4" topLeftCell="A5" activePane="bottomLeft" state="frozen"/>
      <selection pane="bottomLeft" activeCell="F27" activeCellId="8" sqref="A2 F5:F7 F10 F12 F16:F17 F19 F21:F22 F24:F25 F27:F28"/>
    </sheetView>
  </sheetViews>
  <sheetFormatPr baseColWidth="10" defaultColWidth="8.83203125" defaultRowHeight="15"/>
  <cols>
    <col min="1" max="1" width="40" customWidth="1"/>
    <col min="2" max="6" width="16" customWidth="1"/>
  </cols>
  <sheetData>
    <row r="1" spans="1:8" ht="23">
      <c r="A1" s="1" t="s">
        <v>152</v>
      </c>
    </row>
    <row r="2" spans="1:8">
      <c r="A2" s="138" t="s">
        <v>153</v>
      </c>
    </row>
    <row r="4" spans="1:8">
      <c r="A4" s="5" t="s">
        <v>124</v>
      </c>
      <c r="B4" s="5" t="s">
        <v>106</v>
      </c>
      <c r="C4" s="5" t="s">
        <v>107</v>
      </c>
      <c r="D4" s="5" t="s">
        <v>108</v>
      </c>
      <c r="E4" s="5" t="s">
        <v>242</v>
      </c>
      <c r="F4" s="5" t="s">
        <v>243</v>
      </c>
      <c r="H4" t="s">
        <v>125</v>
      </c>
    </row>
    <row r="5" spans="1:8">
      <c r="A5" s="3" t="s">
        <v>126</v>
      </c>
      <c r="B5" s="18">
        <f>'Volume &amp; Mix'!B10</f>
        <v>32.363013698630134</v>
      </c>
      <c r="C5" s="18">
        <f>'Volume &amp; Mix'!C10</f>
        <v>194.17808219178082</v>
      </c>
      <c r="D5" s="18">
        <f>'Volume &amp; Mix'!D10</f>
        <v>517.80821917808214</v>
      </c>
      <c r="E5" s="19">
        <f>'Volume &amp; Mix'!E10</f>
        <v>1035.6164383561643</v>
      </c>
      <c r="F5" s="141">
        <f>'Volume &amp; Mix'!F10</f>
        <v>1682.8767123287671</v>
      </c>
      <c r="H5" t="s">
        <v>127</v>
      </c>
    </row>
    <row r="6" spans="1:8">
      <c r="A6" s="3" t="s">
        <v>128</v>
      </c>
      <c r="B6" s="21">
        <f>fee_bnpl_mo*12</f>
        <v>18</v>
      </c>
      <c r="C6" s="21">
        <f>fee_bnpl_mo*12</f>
        <v>18</v>
      </c>
      <c r="D6" s="21">
        <f>fee_bnpl_mo*12</f>
        <v>18</v>
      </c>
      <c r="E6" s="22">
        <f>fee_bnpl_mo*12</f>
        <v>18</v>
      </c>
      <c r="F6" s="142">
        <f>fee_bnpl_mo*12</f>
        <v>18</v>
      </c>
      <c r="H6" t="s">
        <v>154</v>
      </c>
    </row>
    <row r="7" spans="1:8">
      <c r="A7" s="3" t="s">
        <v>130</v>
      </c>
      <c r="B7" s="18">
        <f>B5*B6/100</f>
        <v>5.8253424657534243</v>
      </c>
      <c r="C7" s="18">
        <f>C5*C6/100</f>
        <v>34.952054794520542</v>
      </c>
      <c r="D7" s="18">
        <f>D5*D6/100</f>
        <v>93.205479452054789</v>
      </c>
      <c r="E7" s="19">
        <f>E5*E6/100</f>
        <v>186.41095890410958</v>
      </c>
      <c r="F7" s="141">
        <f>F5*F6/100</f>
        <v>302.91780821917808</v>
      </c>
      <c r="H7" t="s">
        <v>131</v>
      </c>
    </row>
    <row r="9" spans="1:8">
      <c r="A9" s="3" t="s">
        <v>132</v>
      </c>
      <c r="B9" s="21">
        <f>cof_apr</f>
        <v>6.5</v>
      </c>
      <c r="C9" s="21">
        <f>cof_apr</f>
        <v>6.5</v>
      </c>
      <c r="D9" s="21">
        <f>cof_apr</f>
        <v>6.5</v>
      </c>
      <c r="E9" s="22">
        <f>cof_apr</f>
        <v>6.5</v>
      </c>
      <c r="F9" s="21">
        <f>cof_apr</f>
        <v>6.5</v>
      </c>
    </row>
    <row r="10" spans="1:8">
      <c r="A10" s="3" t="s">
        <v>133</v>
      </c>
      <c r="B10" s="18">
        <f>B5*B9/100</f>
        <v>2.1035958904109586</v>
      </c>
      <c r="C10" s="18">
        <f>C5*C9/100</f>
        <v>12.621575342465754</v>
      </c>
      <c r="D10" s="18">
        <f>D5*D9/100</f>
        <v>33.657534246575338</v>
      </c>
      <c r="E10" s="19">
        <f>E5*E9/100</f>
        <v>67.315068493150676</v>
      </c>
      <c r="F10" s="141">
        <f>F5*F9/100</f>
        <v>109.38698630136987</v>
      </c>
      <c r="H10" t="s">
        <v>134</v>
      </c>
    </row>
    <row r="12" spans="1:8">
      <c r="A12" s="2" t="s">
        <v>135</v>
      </c>
      <c r="B12" s="18">
        <f>B7-B10</f>
        <v>3.7217465753424657</v>
      </c>
      <c r="C12" s="18">
        <f>C7-C10</f>
        <v>22.330479452054789</v>
      </c>
      <c r="D12" s="18">
        <f>D7-D10</f>
        <v>59.547945205479451</v>
      </c>
      <c r="E12" s="19">
        <f>E7-E10</f>
        <v>119.0958904109589</v>
      </c>
      <c r="F12" s="141">
        <f>F7-F10</f>
        <v>193.53082191780823</v>
      </c>
      <c r="H12" t="s">
        <v>136</v>
      </c>
    </row>
    <row r="14" spans="1:8">
      <c r="A14" s="3" t="s">
        <v>283</v>
      </c>
      <c r="B14" s="21">
        <f>pd_bnpl</f>
        <v>4</v>
      </c>
      <c r="C14" s="21">
        <f>pd_bnpl</f>
        <v>4</v>
      </c>
      <c r="D14" s="21">
        <f>pd_bnpl</f>
        <v>4</v>
      </c>
      <c r="E14" s="22">
        <f>pd_bnpl</f>
        <v>4</v>
      </c>
      <c r="F14" s="21">
        <f>pd_bnpl</f>
        <v>4</v>
      </c>
      <c r="H14" t="s">
        <v>280</v>
      </c>
    </row>
    <row r="15" spans="1:8">
      <c r="A15" s="3" t="s">
        <v>284</v>
      </c>
      <c r="B15" s="21">
        <f>lgd_bnpl</f>
        <v>45</v>
      </c>
      <c r="C15" s="21">
        <f>lgd_bnpl</f>
        <v>45</v>
      </c>
      <c r="D15" s="21">
        <f>lgd_bnpl</f>
        <v>45</v>
      </c>
      <c r="E15" s="22">
        <f>lgd_bnpl</f>
        <v>45</v>
      </c>
      <c r="F15" s="21">
        <f>lgd_bnpl</f>
        <v>45</v>
      </c>
      <c r="H15" t="s">
        <v>285</v>
      </c>
    </row>
    <row r="16" spans="1:8">
      <c r="A16" s="3" t="s">
        <v>273</v>
      </c>
      <c r="B16" s="18">
        <f>B14*B15/100*ead_bnpl/100</f>
        <v>1.8</v>
      </c>
      <c r="C16" s="18">
        <f>C14*C15/100*ead_bnpl/100</f>
        <v>1.8</v>
      </c>
      <c r="D16" s="18">
        <f>D14*D15/100*ead_bnpl/100</f>
        <v>1.8</v>
      </c>
      <c r="E16" s="23">
        <f>E14*E15/100*ead_bnpl/100</f>
        <v>1.8</v>
      </c>
      <c r="F16" s="143">
        <f>F14*F15/100*ead_bnpl/100</f>
        <v>1.8</v>
      </c>
      <c r="H16" t="s">
        <v>282</v>
      </c>
    </row>
    <row r="17" spans="1:8">
      <c r="A17" s="3" t="s">
        <v>137</v>
      </c>
      <c r="B17" s="9">
        <f>B5*B16/100</f>
        <v>0.58253424657534236</v>
      </c>
      <c r="C17" s="9">
        <f>C5*C16/100</f>
        <v>3.4952054794520548</v>
      </c>
      <c r="D17" s="9">
        <f>D5*D16/100</f>
        <v>9.3205479452054778</v>
      </c>
      <c r="E17" s="19">
        <f>E5*E16/100</f>
        <v>18.641095890410956</v>
      </c>
      <c r="F17" s="141">
        <f>F5*F16/100</f>
        <v>30.291780821917811</v>
      </c>
      <c r="H17" t="s">
        <v>138</v>
      </c>
    </row>
    <row r="18" spans="1:8">
      <c r="B18" s="19"/>
      <c r="C18" s="19"/>
      <c r="D18" s="19"/>
    </row>
    <row r="19" spans="1:8">
      <c r="A19" s="2" t="s">
        <v>139</v>
      </c>
      <c r="B19" s="9">
        <f>B12-B17</f>
        <v>3.1392123287671234</v>
      </c>
      <c r="C19" s="9">
        <f>C12-C17</f>
        <v>18.835273972602735</v>
      </c>
      <c r="D19" s="9">
        <f>D12-D17</f>
        <v>50.227397260273975</v>
      </c>
      <c r="E19" s="19">
        <f>E12-E17</f>
        <v>100.45479452054795</v>
      </c>
      <c r="F19" s="141">
        <f>F12-F17</f>
        <v>163.2390410958904</v>
      </c>
      <c r="H19" t="s">
        <v>140</v>
      </c>
    </row>
    <row r="20" spans="1:8">
      <c r="B20" s="22"/>
      <c r="C20" s="22"/>
      <c r="D20" s="22"/>
    </row>
    <row r="21" spans="1:8">
      <c r="A21" s="3" t="s">
        <v>531</v>
      </c>
      <c r="B21" s="18">
        <f>opex_pct*opex_y1_mult</f>
        <v>4.008</v>
      </c>
      <c r="C21" s="18">
        <f>opex_pct*opex_y2_mult</f>
        <v>3</v>
      </c>
      <c r="D21" s="18">
        <f>opex_pct*opex_y3_mult</f>
        <v>2.4</v>
      </c>
      <c r="E21" s="22">
        <f>opex_pct*opex_y4_mult</f>
        <v>2.2799999999999998</v>
      </c>
      <c r="F21" s="142">
        <f>opex_pct*opex_y5_mult</f>
        <v>2.2080000000000002</v>
      </c>
      <c r="H21" t="s">
        <v>141</v>
      </c>
    </row>
    <row r="22" spans="1:8">
      <c r="A22" s="3" t="s">
        <v>142</v>
      </c>
      <c r="B22" s="21">
        <f>B5*B21/100</f>
        <v>1.297109589041096</v>
      </c>
      <c r="C22" s="21">
        <f>C5*C21/100</f>
        <v>5.8253424657534243</v>
      </c>
      <c r="D22" s="21">
        <f>D5*D21/100</f>
        <v>12.427397260273972</v>
      </c>
      <c r="E22" s="19">
        <f>E5*E21/100</f>
        <v>23.612054794520546</v>
      </c>
      <c r="F22" s="141">
        <f>F5*F21/100</f>
        <v>37.157917808219182</v>
      </c>
      <c r="H22" t="s">
        <v>143</v>
      </c>
    </row>
    <row r="23" spans="1:8">
      <c r="B23" s="23"/>
      <c r="C23" s="23"/>
      <c r="D23" s="23"/>
    </row>
    <row r="24" spans="1:8">
      <c r="A24" s="2" t="s">
        <v>144</v>
      </c>
      <c r="B24" s="10">
        <f>B19-B22</f>
        <v>1.8421027397260274</v>
      </c>
      <c r="C24" s="10">
        <f>C19-C22</f>
        <v>13.009931506849311</v>
      </c>
      <c r="D24" s="10">
        <f>D19-D22</f>
        <v>37.800000000000004</v>
      </c>
      <c r="E24" s="19">
        <f>E19-E22</f>
        <v>76.842739726027403</v>
      </c>
      <c r="F24" s="141">
        <f>F19-F22</f>
        <v>126.08112328767122</v>
      </c>
      <c r="H24" t="s">
        <v>145</v>
      </c>
    </row>
    <row r="25" spans="1:8">
      <c r="A25" s="3" t="s">
        <v>146</v>
      </c>
      <c r="B25" s="20">
        <f>B24/B5*100</f>
        <v>5.6920000000000002</v>
      </c>
      <c r="C25" s="20">
        <f>C24/C5*100</f>
        <v>6.6999999999999975</v>
      </c>
      <c r="D25" s="20">
        <f>D24/D5*100</f>
        <v>7.3000000000000007</v>
      </c>
      <c r="E25" s="22">
        <f>E24/E5*100</f>
        <v>7.4200000000000017</v>
      </c>
      <c r="F25" s="142">
        <f>F24/F5*100</f>
        <v>7.4919999999999991</v>
      </c>
      <c r="H25" t="s">
        <v>147</v>
      </c>
    </row>
    <row r="26" spans="1:8">
      <c r="B26" s="22"/>
      <c r="C26" s="22"/>
      <c r="D26" s="22"/>
    </row>
    <row r="27" spans="1:8">
      <c r="A27" s="3" t="s">
        <v>148</v>
      </c>
      <c r="B27" s="9">
        <f>B5*equity_pct/100</f>
        <v>4.5308219178082183</v>
      </c>
      <c r="C27" s="9">
        <f>C5*equity_pct/100</f>
        <v>27.184931506849317</v>
      </c>
      <c r="D27" s="9">
        <f>D5*equity_pct/100</f>
        <v>72.493150684931493</v>
      </c>
      <c r="E27" s="19">
        <f>E5*equity_pct/100</f>
        <v>144.98630136986299</v>
      </c>
      <c r="F27" s="141">
        <f>F5*equity_pct/100</f>
        <v>235.60273972602738</v>
      </c>
      <c r="H27" t="s">
        <v>149</v>
      </c>
    </row>
    <row r="28" spans="1:8">
      <c r="A28" s="3" t="s">
        <v>150</v>
      </c>
      <c r="B28" s="11">
        <f>IF(B27&gt;0,B24/B27*100,0)</f>
        <v>40.657142857142865</v>
      </c>
      <c r="C28" s="11">
        <f>IF(C27&gt;0,C24/C27*100,0)</f>
        <v>47.85714285714284</v>
      </c>
      <c r="D28" s="11">
        <f>IF(D27&gt;0,D24/D27*100,0)</f>
        <v>52.14285714285716</v>
      </c>
      <c r="E28" s="22">
        <f>IF(E27&gt;0,E24/E27*100,0)</f>
        <v>53.000000000000014</v>
      </c>
      <c r="F28" s="142">
        <f>IF(F27&gt;0,F24/F27*100,0)</f>
        <v>53.514285714285712</v>
      </c>
      <c r="H28" t="s">
        <v>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1A28"/>
  </sheetPr>
  <dimension ref="A1:H28"/>
  <sheetViews>
    <sheetView workbookViewId="0">
      <pane ySplit="4" topLeftCell="A5" activePane="bottomLeft" state="frozen"/>
      <selection pane="bottomLeft" activeCell="F27" activeCellId="8" sqref="A2 F5:F7 F10 F12 F16:F17 F19 F21:F22 F24:F25 F27:F28"/>
    </sheetView>
  </sheetViews>
  <sheetFormatPr baseColWidth="10" defaultColWidth="8.83203125" defaultRowHeight="15"/>
  <cols>
    <col min="1" max="1" width="40" customWidth="1"/>
    <col min="2" max="6" width="16" customWidth="1"/>
  </cols>
  <sheetData>
    <row r="1" spans="1:8" ht="23">
      <c r="A1" s="1" t="s">
        <v>155</v>
      </c>
    </row>
    <row r="2" spans="1:8">
      <c r="A2" s="138" t="s">
        <v>156</v>
      </c>
    </row>
    <row r="4" spans="1:8">
      <c r="A4" s="5" t="s">
        <v>124</v>
      </c>
      <c r="B4" s="5" t="s">
        <v>106</v>
      </c>
      <c r="C4" s="5" t="s">
        <v>107</v>
      </c>
      <c r="D4" s="5" t="s">
        <v>108</v>
      </c>
      <c r="E4" s="5" t="s">
        <v>242</v>
      </c>
      <c r="F4" s="5" t="s">
        <v>243</v>
      </c>
      <c r="H4" t="s">
        <v>125</v>
      </c>
    </row>
    <row r="5" spans="1:8">
      <c r="A5" s="3" t="s">
        <v>126</v>
      </c>
      <c r="B5" s="18">
        <f>'Volume &amp; Mix'!B11</f>
        <v>11.095890410958905</v>
      </c>
      <c r="C5" s="18">
        <f>'Volume &amp; Mix'!C11</f>
        <v>66.575342465753423</v>
      </c>
      <c r="D5" s="18">
        <f>'Volume &amp; Mix'!D11</f>
        <v>177.53424657534248</v>
      </c>
      <c r="E5" s="19">
        <f>'Volume &amp; Mix'!E11</f>
        <v>355.06849315068496</v>
      </c>
      <c r="F5" s="141">
        <f>'Volume &amp; Mix'!F11</f>
        <v>576.9863013698631</v>
      </c>
      <c r="H5" t="s">
        <v>127</v>
      </c>
    </row>
    <row r="6" spans="1:8">
      <c r="A6" s="3" t="s">
        <v>128</v>
      </c>
      <c r="B6" s="21">
        <f>fee_ext_apr</f>
        <v>16</v>
      </c>
      <c r="C6" s="21">
        <f>fee_ext_apr</f>
        <v>16</v>
      </c>
      <c r="D6" s="21">
        <f>fee_ext_apr</f>
        <v>16</v>
      </c>
      <c r="E6" s="22">
        <f>fee_ext_apr</f>
        <v>16</v>
      </c>
      <c r="F6" s="142">
        <f>fee_ext_apr</f>
        <v>16</v>
      </c>
      <c r="H6" t="s">
        <v>157</v>
      </c>
    </row>
    <row r="7" spans="1:8">
      <c r="A7" s="3" t="s">
        <v>130</v>
      </c>
      <c r="B7" s="18">
        <f>B5*B6/100</f>
        <v>1.7753424657534247</v>
      </c>
      <c r="C7" s="18">
        <f>C5*C6/100</f>
        <v>10.652054794520547</v>
      </c>
      <c r="D7" s="18">
        <f>D5*D6/100</f>
        <v>28.405479452054795</v>
      </c>
      <c r="E7" s="19">
        <f>E5*E6/100</f>
        <v>56.81095890410959</v>
      </c>
      <c r="F7" s="141">
        <f>F5*F6/100</f>
        <v>92.31780821917809</v>
      </c>
      <c r="H7" t="s">
        <v>131</v>
      </c>
    </row>
    <row r="9" spans="1:8">
      <c r="A9" s="3" t="s">
        <v>132</v>
      </c>
      <c r="B9" s="21">
        <f>cof_apr</f>
        <v>6.5</v>
      </c>
      <c r="C9" s="21">
        <f>cof_apr</f>
        <v>6.5</v>
      </c>
      <c r="D9" s="21">
        <f>cof_apr</f>
        <v>6.5</v>
      </c>
      <c r="E9" s="22">
        <f>cof_apr</f>
        <v>6.5</v>
      </c>
      <c r="F9" s="21">
        <f>cof_apr</f>
        <v>6.5</v>
      </c>
    </row>
    <row r="10" spans="1:8">
      <c r="A10" s="3" t="s">
        <v>133</v>
      </c>
      <c r="B10" s="18">
        <f>B5*B9/100</f>
        <v>0.72123287671232883</v>
      </c>
      <c r="C10" s="18">
        <f>C5*C9/100</f>
        <v>4.3273972602739725</v>
      </c>
      <c r="D10" s="18">
        <f>D5*D9/100</f>
        <v>11.539726027397261</v>
      </c>
      <c r="E10" s="19">
        <f>E5*E9/100</f>
        <v>23.079452054794523</v>
      </c>
      <c r="F10" s="141">
        <f>F5*F9/100</f>
        <v>37.5041095890411</v>
      </c>
      <c r="H10" t="s">
        <v>134</v>
      </c>
    </row>
    <row r="12" spans="1:8">
      <c r="A12" s="2" t="s">
        <v>135</v>
      </c>
      <c r="B12" s="18">
        <f>B7-B10</f>
        <v>1.0541095890410959</v>
      </c>
      <c r="C12" s="18">
        <f>C7-C10</f>
        <v>6.3246575342465743</v>
      </c>
      <c r="D12" s="18">
        <f>D7-D10</f>
        <v>16.865753424657534</v>
      </c>
      <c r="E12" s="19">
        <f>E7-E10</f>
        <v>33.731506849315068</v>
      </c>
      <c r="F12" s="141">
        <f>F7-F10</f>
        <v>54.81369863013699</v>
      </c>
      <c r="H12" t="s">
        <v>136</v>
      </c>
    </row>
    <row r="14" spans="1:8">
      <c r="A14" s="3" t="s">
        <v>286</v>
      </c>
      <c r="B14" s="21">
        <f>pd_ext</f>
        <v>10</v>
      </c>
      <c r="C14" s="21">
        <f>pd_ext</f>
        <v>10</v>
      </c>
      <c r="D14" s="21">
        <f>pd_ext</f>
        <v>10</v>
      </c>
      <c r="E14" s="22">
        <f>pd_ext</f>
        <v>10</v>
      </c>
      <c r="F14" s="21">
        <f>pd_ext</f>
        <v>10</v>
      </c>
      <c r="H14" t="s">
        <v>280</v>
      </c>
    </row>
    <row r="15" spans="1:8">
      <c r="A15" s="3" t="s">
        <v>287</v>
      </c>
      <c r="B15" s="21">
        <f>lgd_ext</f>
        <v>65</v>
      </c>
      <c r="C15" s="21">
        <f>lgd_ext</f>
        <v>65</v>
      </c>
      <c r="D15" s="21">
        <f>lgd_ext</f>
        <v>65</v>
      </c>
      <c r="E15" s="22">
        <f>lgd_ext</f>
        <v>65</v>
      </c>
      <c r="F15" s="21">
        <f>lgd_ext</f>
        <v>65</v>
      </c>
      <c r="H15" t="s">
        <v>288</v>
      </c>
    </row>
    <row r="16" spans="1:8">
      <c r="A16" s="3" t="s">
        <v>273</v>
      </c>
      <c r="B16" s="18">
        <f>B14*B15/100*ead_ext/100</f>
        <v>6.5</v>
      </c>
      <c r="C16" s="18">
        <f>C14*C15/100*ead_ext/100</f>
        <v>6.5</v>
      </c>
      <c r="D16" s="18">
        <f>D14*D15/100*ead_ext/100</f>
        <v>6.5</v>
      </c>
      <c r="E16" s="23">
        <f>E14*E15/100*ead_ext/100</f>
        <v>6.5</v>
      </c>
      <c r="F16" s="143">
        <f>F14*F15/100*ead_ext/100</f>
        <v>6.5</v>
      </c>
      <c r="H16" t="s">
        <v>282</v>
      </c>
    </row>
    <row r="17" spans="1:8">
      <c r="A17" s="3" t="s">
        <v>137</v>
      </c>
      <c r="B17" s="9">
        <f>B5*B16/100</f>
        <v>0.72123287671232883</v>
      </c>
      <c r="C17" s="9">
        <f>C5*C16/100</f>
        <v>4.3273972602739725</v>
      </c>
      <c r="D17" s="9">
        <f>D5*D16/100</f>
        <v>11.539726027397261</v>
      </c>
      <c r="E17" s="19">
        <f>E5*E16/100</f>
        <v>23.079452054794523</v>
      </c>
      <c r="F17" s="141">
        <f>F5*F16/100</f>
        <v>37.5041095890411</v>
      </c>
      <c r="H17" t="s">
        <v>138</v>
      </c>
    </row>
    <row r="18" spans="1:8">
      <c r="B18" s="19"/>
      <c r="C18" s="19"/>
      <c r="D18" s="19"/>
    </row>
    <row r="19" spans="1:8">
      <c r="A19" s="2" t="s">
        <v>139</v>
      </c>
      <c r="B19" s="9">
        <f>B12-B17</f>
        <v>0.33287671232876703</v>
      </c>
      <c r="C19" s="9">
        <f>C12-C17</f>
        <v>1.9972602739726018</v>
      </c>
      <c r="D19" s="9">
        <f>D12-D17</f>
        <v>5.3260273972602725</v>
      </c>
      <c r="E19" s="19">
        <f>E12-E17</f>
        <v>10.652054794520545</v>
      </c>
      <c r="F19" s="141">
        <f>F12-F17</f>
        <v>17.30958904109589</v>
      </c>
      <c r="H19" t="s">
        <v>140</v>
      </c>
    </row>
    <row r="20" spans="1:8">
      <c r="B20" s="22"/>
      <c r="C20" s="22"/>
      <c r="D20" s="22"/>
    </row>
    <row r="21" spans="1:8">
      <c r="A21" s="3" t="s">
        <v>531</v>
      </c>
      <c r="B21" s="18">
        <f>opex_pct*opex_y1_mult</f>
        <v>4.008</v>
      </c>
      <c r="C21" s="18">
        <f>opex_pct*opex_y2_mult</f>
        <v>3</v>
      </c>
      <c r="D21" s="18">
        <f>opex_pct*opex_y3_mult</f>
        <v>2.4</v>
      </c>
      <c r="E21" s="22">
        <f>opex_pct*opex_y4_mult</f>
        <v>2.2799999999999998</v>
      </c>
      <c r="F21" s="142">
        <f>opex_pct*opex_y5_mult</f>
        <v>2.2080000000000002</v>
      </c>
      <c r="H21" t="s">
        <v>141</v>
      </c>
    </row>
    <row r="22" spans="1:8">
      <c r="A22" s="3" t="s">
        <v>142</v>
      </c>
      <c r="B22" s="21">
        <f>B5*B21/100</f>
        <v>0.44472328767123293</v>
      </c>
      <c r="C22" s="21">
        <f>C5*C21/100</f>
        <v>1.9972602739726029</v>
      </c>
      <c r="D22" s="21">
        <f>D5*D21/100</f>
        <v>4.2608219178082187</v>
      </c>
      <c r="E22" s="19">
        <f>E5*E21/100</f>
        <v>8.0955616438356159</v>
      </c>
      <c r="F22" s="141">
        <f>F5*F21/100</f>
        <v>12.739857534246578</v>
      </c>
      <c r="H22" t="s">
        <v>143</v>
      </c>
    </row>
    <row r="23" spans="1:8">
      <c r="B23" s="23"/>
      <c r="C23" s="23"/>
      <c r="D23" s="23"/>
    </row>
    <row r="24" spans="1:8">
      <c r="A24" s="2" t="s">
        <v>144</v>
      </c>
      <c r="B24" s="10">
        <f>B19-B22</f>
        <v>-0.11184657534246589</v>
      </c>
      <c r="C24" s="10">
        <f>C19-C22</f>
        <v>0</v>
      </c>
      <c r="D24" s="10">
        <f>D19-D22</f>
        <v>1.0652054794520538</v>
      </c>
      <c r="E24" s="19">
        <f>E19-E22</f>
        <v>2.5564931506849291</v>
      </c>
      <c r="F24" s="141">
        <f>F19-F22</f>
        <v>4.5697315068493118</v>
      </c>
      <c r="H24" t="s">
        <v>145</v>
      </c>
    </row>
    <row r="25" spans="1:8">
      <c r="A25" s="3" t="s">
        <v>146</v>
      </c>
      <c r="B25" s="20">
        <f>B24/B5*100</f>
        <v>-1.0080000000000013</v>
      </c>
      <c r="C25" s="20">
        <f>C24/C5*100</f>
        <v>0</v>
      </c>
      <c r="D25" s="20">
        <f>D24/D5*100</f>
        <v>0.59999999999999942</v>
      </c>
      <c r="E25" s="22">
        <f>E24/E5*100</f>
        <v>0.71999999999999931</v>
      </c>
      <c r="F25" s="142">
        <f>F24/F5*100</f>
        <v>0.79199999999999926</v>
      </c>
      <c r="H25" t="s">
        <v>147</v>
      </c>
    </row>
    <row r="26" spans="1:8">
      <c r="B26" s="22"/>
      <c r="C26" s="22"/>
      <c r="D26" s="22"/>
    </row>
    <row r="27" spans="1:8">
      <c r="A27" s="3" t="s">
        <v>148</v>
      </c>
      <c r="B27" s="9">
        <f>B5*equity_pct/100</f>
        <v>1.5534246575342467</v>
      </c>
      <c r="C27" s="9">
        <f>C5*equity_pct/100</f>
        <v>9.3205479452054796</v>
      </c>
      <c r="D27" s="9">
        <f>D5*equity_pct/100</f>
        <v>24.854794520547948</v>
      </c>
      <c r="E27" s="19">
        <f>E5*equity_pct/100</f>
        <v>49.709589041095896</v>
      </c>
      <c r="F27" s="141">
        <f>F5*equity_pct/100</f>
        <v>80.778082191780825</v>
      </c>
      <c r="H27" t="s">
        <v>149</v>
      </c>
    </row>
    <row r="28" spans="1:8">
      <c r="A28" s="3" t="s">
        <v>150</v>
      </c>
      <c r="B28" s="11">
        <f>IF(B27&gt;0,B24/B27*100,0)</f>
        <v>-7.2000000000000082</v>
      </c>
      <c r="C28" s="11">
        <f>IF(C27&gt;0,C24/C27*100,0)</f>
        <v>0</v>
      </c>
      <c r="D28" s="11">
        <f>IF(D27&gt;0,D24/D27*100,0)</f>
        <v>4.2857142857142811</v>
      </c>
      <c r="E28" s="22">
        <f>IF(E27&gt;0,E24/E27*100,0)</f>
        <v>5.142857142857137</v>
      </c>
      <c r="F28" s="142">
        <f>IF(F27&gt;0,F24/F27*100,0)</f>
        <v>5.657142857142853</v>
      </c>
      <c r="H28" t="s">
        <v>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7CD8"/>
  </sheetPr>
  <dimension ref="A1:F38"/>
  <sheetViews>
    <sheetView workbookViewId="0">
      <pane ySplit="4" topLeftCell="A5" activePane="bottomLeft" state="frozen"/>
      <selection pane="bottomLeft" activeCell="E50" sqref="E50"/>
    </sheetView>
  </sheetViews>
  <sheetFormatPr baseColWidth="10" defaultColWidth="8.83203125" defaultRowHeight="15"/>
  <cols>
    <col min="1" max="1" width="40" customWidth="1"/>
    <col min="2" max="6" width="16" customWidth="1"/>
  </cols>
  <sheetData>
    <row r="1" spans="1:6" ht="23">
      <c r="A1" s="1" t="s">
        <v>158</v>
      </c>
    </row>
    <row r="2" spans="1:6">
      <c r="A2" s="138" t="s">
        <v>529</v>
      </c>
    </row>
    <row r="4" spans="1:6">
      <c r="A4" s="5" t="s">
        <v>159</v>
      </c>
      <c r="B4" s="5" t="s">
        <v>106</v>
      </c>
      <c r="C4" s="5" t="s">
        <v>107</v>
      </c>
      <c r="D4" s="5" t="s">
        <v>108</v>
      </c>
      <c r="E4" s="5" t="s">
        <v>242</v>
      </c>
      <c r="F4" s="5" t="s">
        <v>243</v>
      </c>
    </row>
    <row r="5" spans="1:6">
      <c r="A5" s="3" t="s">
        <v>126</v>
      </c>
      <c r="B5" s="24">
        <f>'Track A · Pay-30'!B5+'Track B · BNPL'!B5+'Track C · Extension'!B5</f>
        <v>50.856164383561648</v>
      </c>
      <c r="C5" s="24">
        <f>'Track A · Pay-30'!C5+'Track B · BNPL'!C5+'Track C · Extension'!C5</f>
        <v>305.13698630136986</v>
      </c>
      <c r="D5" s="24">
        <f>'Track A · Pay-30'!D5+'Track B · BNPL'!D5+'Track C · Extension'!D5</f>
        <v>813.69863013698637</v>
      </c>
      <c r="E5" s="19">
        <f>'Track A · Pay-30'!E5+'Track B · BNPL'!E5+'Track C · Extension'!E5</f>
        <v>1627.3972602739727</v>
      </c>
      <c r="F5" s="141">
        <f>'Track A · Pay-30'!F5+'Track B · BNPL'!F5+'Track C · Extension'!F5</f>
        <v>2644.5205479452056</v>
      </c>
    </row>
    <row r="6" spans="1:6">
      <c r="A6" s="3" t="s">
        <v>160</v>
      </c>
      <c r="B6" s="24">
        <f>'Track A · Pay-30'!B7+'Track B · BNPL'!B7+'Track C · Extension'!B7</f>
        <v>8.7546575342465758</v>
      </c>
      <c r="C6" s="24">
        <f>'Track A · Pay-30'!C7+'Track B · BNPL'!C7+'Track C · Extension'!C7</f>
        <v>52.527945205479448</v>
      </c>
      <c r="D6" s="24">
        <f>'Track A · Pay-30'!D7+'Track B · BNPL'!D7+'Track C · Extension'!D7</f>
        <v>140.07452054794521</v>
      </c>
      <c r="E6" s="19">
        <f>'Track A · Pay-30'!E7+'Track B · BNPL'!E7+'Track C · Extension'!E7</f>
        <v>280.14904109589042</v>
      </c>
      <c r="F6" s="141">
        <f>'Track A · Pay-30'!F7+'Track B · BNPL'!F7+'Track C · Extension'!F7</f>
        <v>455.24219178082194</v>
      </c>
    </row>
    <row r="7" spans="1:6">
      <c r="A7" s="3" t="s">
        <v>161</v>
      </c>
      <c r="B7" s="24">
        <f>'Track A · Pay-30'!B10+'Track B · BNPL'!B10+'Track C · Extension'!B10</f>
        <v>3.305650684931507</v>
      </c>
      <c r="C7" s="24">
        <f>'Track A · Pay-30'!C10+'Track B · BNPL'!C10+'Track C · Extension'!C10</f>
        <v>19.833904109589042</v>
      </c>
      <c r="D7" s="24">
        <f>'Track A · Pay-30'!D10+'Track B · BNPL'!D10+'Track C · Extension'!D10</f>
        <v>52.890410958904113</v>
      </c>
      <c r="E7" s="19">
        <f>'Track A · Pay-30'!E10+'Track B · BNPL'!E10+'Track C · Extension'!E10</f>
        <v>105.78082191780823</v>
      </c>
      <c r="F7" s="141">
        <f>'Track A · Pay-30'!F10+'Track B · BNPL'!F10+'Track C · Extension'!F10</f>
        <v>171.89383561643837</v>
      </c>
    </row>
    <row r="8" spans="1:6">
      <c r="A8" s="2" t="s">
        <v>162</v>
      </c>
      <c r="B8" s="25">
        <f>'Track A · Pay-30'!B12+'Track B · BNPL'!B12+'Track C · Extension'!B12</f>
        <v>5.4490068493150687</v>
      </c>
      <c r="C8" s="25">
        <f>'Track A · Pay-30'!C12+'Track B · BNPL'!C12+'Track C · Extension'!C12</f>
        <v>32.694041095890405</v>
      </c>
      <c r="D8" s="25">
        <f>'Track A · Pay-30'!D12+'Track B · BNPL'!D12+'Track C · Extension'!D12</f>
        <v>87.1841095890411</v>
      </c>
      <c r="E8" s="19">
        <f>'Track A · Pay-30'!E12+'Track B · BNPL'!E12+'Track C · Extension'!E12</f>
        <v>174.3682191780822</v>
      </c>
      <c r="F8" s="141">
        <f>'Track A · Pay-30'!F12+'Track B · BNPL'!F12+'Track C · Extension'!F12</f>
        <v>283.34835616438357</v>
      </c>
    </row>
    <row r="9" spans="1:6">
      <c r="A9" s="3" t="s">
        <v>163</v>
      </c>
      <c r="B9" s="24">
        <f>'Track A · Pay-30'!B17+'Track B · BNPL'!B17+'Track C · Extension'!B17</f>
        <v>1.3555479452054793</v>
      </c>
      <c r="C9" s="24">
        <f>'Track A · Pay-30'!C17+'Track B · BNPL'!C17+'Track C · Extension'!C17</f>
        <v>8.1332876712328765</v>
      </c>
      <c r="D9" s="24">
        <f>'Track A · Pay-30'!D17+'Track B · BNPL'!D17+'Track C · Extension'!D17</f>
        <v>21.688767123287668</v>
      </c>
      <c r="E9" s="19">
        <f>'Track A · Pay-30'!E17+'Track B · BNPL'!E17+'Track C · Extension'!E17</f>
        <v>43.377534246575337</v>
      </c>
      <c r="F9" s="141">
        <f>'Track A · Pay-30'!F17+'Track B · BNPL'!F17+'Track C · Extension'!F17</f>
        <v>70.488493150684945</v>
      </c>
    </row>
    <row r="10" spans="1:6">
      <c r="A10" s="2" t="s">
        <v>164</v>
      </c>
      <c r="B10" s="25">
        <f>'Track A · Pay-30'!B19+'Track B · BNPL'!B19+'Track C · Extension'!B19</f>
        <v>4.093458904109589</v>
      </c>
      <c r="C10" s="25">
        <f>'Track A · Pay-30'!C19+'Track B · BNPL'!C19+'Track C · Extension'!C19</f>
        <v>24.560753424657527</v>
      </c>
      <c r="D10" s="25">
        <f>'Track A · Pay-30'!D19+'Track B · BNPL'!D19+'Track C · Extension'!D19</f>
        <v>65.495342465753424</v>
      </c>
      <c r="E10" s="19">
        <f>'Track A · Pay-30'!E19+'Track B · BNPL'!E19+'Track C · Extension'!E19</f>
        <v>130.99068493150685</v>
      </c>
      <c r="F10" s="141">
        <f>'Track A · Pay-30'!F19+'Track B · BNPL'!F19+'Track C · Extension'!F19</f>
        <v>212.8598630136986</v>
      </c>
    </row>
    <row r="11" spans="1:6">
      <c r="A11" s="3" t="s">
        <v>165</v>
      </c>
      <c r="B11" s="24">
        <f>'Track A · Pay-30'!B22+'Track B · BNPL'!B22+'Track C · Extension'!B22</f>
        <v>2.0383150684931506</v>
      </c>
      <c r="C11" s="24">
        <f>'Track A · Pay-30'!C22+'Track B · BNPL'!C22+'Track C · Extension'!C22</f>
        <v>9.1541095890410968</v>
      </c>
      <c r="D11" s="24">
        <f>'Track A · Pay-30'!D22+'Track B · BNPL'!D22+'Track C · Extension'!D22</f>
        <v>19.528767123287672</v>
      </c>
      <c r="E11" s="19">
        <f>'Track A · Pay-30'!E22+'Track B · BNPL'!E22+'Track C · Extension'!E22</f>
        <v>37.10465753424657</v>
      </c>
      <c r="F11" s="141">
        <f>'Track A · Pay-30'!F22+'Track B · BNPL'!F22+'Track C · Extension'!F22</f>
        <v>58.391013698630147</v>
      </c>
    </row>
    <row r="12" spans="1:6">
      <c r="A12" s="2" t="s">
        <v>166</v>
      </c>
      <c r="B12" s="12">
        <f>'Track A · Pay-30'!B24+'Track B · BNPL'!B24+'Track C · Extension'!B24</f>
        <v>2.0551438356164384</v>
      </c>
      <c r="C12" s="12">
        <f>'Track A · Pay-30'!C24+'Track B · BNPL'!C24+'Track C · Extension'!C24</f>
        <v>15.406643835616435</v>
      </c>
      <c r="D12" s="12">
        <f>'Track A · Pay-30'!D24+'Track B · BNPL'!D24+'Track C · Extension'!D24</f>
        <v>45.966575342465759</v>
      </c>
      <c r="E12">
        <f>'Track A · Pay-30'!E24+'Track B · BNPL'!E24+'Track C · Extension'!E24</f>
        <v>93.886027397260278</v>
      </c>
      <c r="F12" s="138">
        <f>'Track A · Pay-30'!F24+'Track B · BNPL'!F24+'Track C · Extension'!F24</f>
        <v>154.46884931506847</v>
      </c>
    </row>
    <row r="13" spans="1:6">
      <c r="A13" s="3" t="s">
        <v>167</v>
      </c>
      <c r="B13" s="24">
        <f>'Track A · Pay-30'!B27+'Track B · BNPL'!B27+'Track C · Extension'!B27</f>
        <v>7.1198630136986303</v>
      </c>
      <c r="C13" s="24">
        <f>'Track A · Pay-30'!C27+'Track B · BNPL'!C27+'Track C · Extension'!C27</f>
        <v>42.719178082191789</v>
      </c>
      <c r="D13" s="24">
        <f>'Track A · Pay-30'!D27+'Track B · BNPL'!D27+'Track C · Extension'!D27</f>
        <v>113.91780821917808</v>
      </c>
      <c r="E13" s="19">
        <f>'Track A · Pay-30'!E27+'Track B · BNPL'!E27+'Track C · Extension'!E27</f>
        <v>227.83561643835617</v>
      </c>
      <c r="F13" s="141">
        <f>'Track A · Pay-30'!F27+'Track B · BNPL'!F27+'Track C · Extension'!F27</f>
        <v>370.23287671232873</v>
      </c>
    </row>
    <row r="15" spans="1:6">
      <c r="A15" s="2" t="s">
        <v>168</v>
      </c>
    </row>
    <row r="16" spans="1:6">
      <c r="A16" s="3" t="s">
        <v>169</v>
      </c>
      <c r="B16" s="26">
        <f>B8/B5*100</f>
        <v>10.714545454545455</v>
      </c>
      <c r="C16" s="26">
        <f>C8/C5*100</f>
        <v>10.714545454545453</v>
      </c>
      <c r="D16" s="26">
        <f>D8/D5*100</f>
        <v>10.714545454545455</v>
      </c>
      <c r="E16" s="22">
        <f>E8/E5*100</f>
        <v>10.714545454545455</v>
      </c>
      <c r="F16" s="26">
        <f>F8/F5*100</f>
        <v>10.714545454545455</v>
      </c>
    </row>
    <row r="17" spans="1:6">
      <c r="A17" s="3" t="s">
        <v>170</v>
      </c>
      <c r="B17" s="26">
        <f>B9/B5*100</f>
        <v>2.6654545454545446</v>
      </c>
      <c r="C17" s="26">
        <f>C9/C5*100</f>
        <v>2.6654545454545455</v>
      </c>
      <c r="D17" s="26">
        <f>D9/D5*100</f>
        <v>2.6654545454545446</v>
      </c>
      <c r="E17" s="22">
        <f>E9/E5*100</f>
        <v>2.6654545454545446</v>
      </c>
      <c r="F17" s="26">
        <f>F9/F5*100</f>
        <v>2.665454545454546</v>
      </c>
    </row>
    <row r="18" spans="1:6">
      <c r="A18" s="3" t="s">
        <v>171</v>
      </c>
      <c r="B18" s="26">
        <f>B11/B5*100</f>
        <v>4.008</v>
      </c>
      <c r="C18" s="26">
        <f>C11/C5*100</f>
        <v>3.0000000000000004</v>
      </c>
      <c r="D18" s="26">
        <f>D11/D5*100</f>
        <v>2.4</v>
      </c>
      <c r="E18" s="22">
        <f>E11/E5*100</f>
        <v>2.2799999999999994</v>
      </c>
      <c r="F18" s="26">
        <f>F11/F5*100</f>
        <v>2.2080000000000002</v>
      </c>
    </row>
    <row r="19" spans="1:6">
      <c r="A19" s="3" t="s">
        <v>530</v>
      </c>
      <c r="B19" s="26">
        <f>IF(B6&gt;0,B12/B6*100,0)</f>
        <v>23.474862695395014</v>
      </c>
      <c r="C19" s="26">
        <f>IF(C6&gt;0,C12/C6*100,0)</f>
        <v>29.330376003379804</v>
      </c>
      <c r="D19" s="26">
        <f>IF(D6&gt;0,D12/D6*100,0)</f>
        <v>32.815800591465994</v>
      </c>
      <c r="E19" s="22">
        <f>IF(E6&gt;0,E12/E6*100,0)</f>
        <v>33.512885509083226</v>
      </c>
      <c r="F19" s="26">
        <f>IF(F6&gt;0,F12/F6*100,0)</f>
        <v>33.931136459653558</v>
      </c>
    </row>
    <row r="20" spans="1:6">
      <c r="A20" s="3" t="s">
        <v>146</v>
      </c>
      <c r="B20" s="26">
        <f>B12/B5*100</f>
        <v>4.0410909090909088</v>
      </c>
      <c r="C20" s="26">
        <f>C12/C5*100</f>
        <v>5.049090909090908</v>
      </c>
      <c r="D20" s="26">
        <f>D12/D5*100</f>
        <v>5.6490909090909094</v>
      </c>
      <c r="E20" s="22">
        <f>E12/E5*100</f>
        <v>5.7690909090909095</v>
      </c>
      <c r="F20" s="26">
        <f>F12/F5*100</f>
        <v>5.8410909090909078</v>
      </c>
    </row>
    <row r="21" spans="1:6">
      <c r="A21" s="3" t="s">
        <v>150</v>
      </c>
      <c r="B21" s="26">
        <f>IF(B13&gt;0,B12/B13*100,0)</f>
        <v>28.864935064935064</v>
      </c>
      <c r="C21" s="26">
        <f>IF(C13&gt;0,C12/C13*100,0)</f>
        <v>36.06493506493505</v>
      </c>
      <c r="D21" s="26">
        <f>IF(D13&gt;0,D12/D13*100,0)</f>
        <v>40.350649350649356</v>
      </c>
      <c r="E21" s="22">
        <f>IF(E13&gt;0,E12/E13*100,0)</f>
        <v>41.20779220779221</v>
      </c>
      <c r="F21" s="26">
        <f>IF(F13&gt;0,F12/F13*100,0)</f>
        <v>41.722077922077922</v>
      </c>
    </row>
    <row r="23" spans="1:6" ht="16">
      <c r="A23" s="146" t="s">
        <v>550</v>
      </c>
      <c r="B23" s="112"/>
      <c r="C23" s="112"/>
      <c r="D23" s="112"/>
      <c r="E23" s="112"/>
      <c r="F23" s="112"/>
    </row>
    <row r="24" spans="1:6">
      <c r="A24" s="147" t="s">
        <v>551</v>
      </c>
    </row>
    <row r="26" spans="1:6">
      <c r="A26" s="44" t="s">
        <v>552</v>
      </c>
      <c r="B26" s="19">
        <f>B12</f>
        <v>2.0551438356164384</v>
      </c>
      <c r="C26" s="19">
        <f>C12</f>
        <v>15.406643835616435</v>
      </c>
      <c r="D26" s="19">
        <f>D12</f>
        <v>45.966575342465759</v>
      </c>
      <c r="E26" s="19">
        <f>E12</f>
        <v>93.886027397260278</v>
      </c>
      <c r="F26" s="19">
        <f>F12</f>
        <v>154.46884931506847</v>
      </c>
    </row>
    <row r="28" spans="1:6">
      <c r="A28" t="s">
        <v>553</v>
      </c>
      <c r="B28" s="19">
        <f>-'Volume &amp; Mix'!B5*0.005</f>
        <v>-1.25</v>
      </c>
      <c r="C28" s="19">
        <f>-'Volume &amp; Mix'!C5*0.0035</f>
        <v>-5.25</v>
      </c>
      <c r="D28" s="19">
        <f>-'Volume &amp; Mix'!D5*0.002</f>
        <v>-8</v>
      </c>
      <c r="E28" s="19">
        <f>-'Volume &amp; Mix'!E5*0.0015</f>
        <v>-12</v>
      </c>
      <c r="F28" s="19">
        <f>-'Volume &amp; Mix'!F5*0.0012</f>
        <v>-15.599999999999998</v>
      </c>
    </row>
    <row r="29" spans="1:6">
      <c r="A29" t="s">
        <v>554</v>
      </c>
      <c r="B29" s="19">
        <v>-3</v>
      </c>
      <c r="C29" s="19">
        <v>-5</v>
      </c>
      <c r="D29" s="19">
        <v>-7</v>
      </c>
      <c r="E29" s="19">
        <v>-10</v>
      </c>
      <c r="F29" s="19">
        <v>-12</v>
      </c>
    </row>
    <row r="30" spans="1:6">
      <c r="A30" t="s">
        <v>555</v>
      </c>
      <c r="B30" s="19">
        <f>-B5*0.0025</f>
        <v>-0.12714041095890413</v>
      </c>
      <c r="C30" s="19">
        <f>-C5*0.0025</f>
        <v>-0.76284246575342463</v>
      </c>
      <c r="D30" s="19">
        <f>-D5*0.0025</f>
        <v>-2.0342465753424661</v>
      </c>
      <c r="E30" s="19">
        <f>-E5*0.0025</f>
        <v>-4.0684931506849322</v>
      </c>
      <c r="F30" s="19">
        <f>-F5*0.0025</f>
        <v>-6.6113013698630141</v>
      </c>
    </row>
    <row r="32" spans="1:6">
      <c r="A32" s="45" t="s">
        <v>556</v>
      </c>
      <c r="B32" s="148">
        <f>SUM(B26:B30)</f>
        <v>-2.3219965753424656</v>
      </c>
      <c r="C32" s="148">
        <f>SUM(C26:C30)</f>
        <v>4.3938013698630112</v>
      </c>
      <c r="D32" s="148">
        <f>SUM(D26:D30)</f>
        <v>28.932328767123295</v>
      </c>
      <c r="E32" s="148">
        <f>SUM(E26:E30)</f>
        <v>67.817534246575349</v>
      </c>
      <c r="F32" s="148">
        <f>SUM(F26:F30)</f>
        <v>120.25754794520546</v>
      </c>
    </row>
    <row r="33" spans="1:6">
      <c r="A33" t="s">
        <v>557</v>
      </c>
      <c r="B33" s="19">
        <f>-MAX(0,B32)*0.09</f>
        <v>0</v>
      </c>
      <c r="C33" s="19">
        <f>-MAX(0,C32)*0.09</f>
        <v>-0.39544212328767098</v>
      </c>
      <c r="D33" s="19">
        <f>-MAX(0,D32)*0.09</f>
        <v>-2.6039095890410966</v>
      </c>
      <c r="E33" s="19">
        <f>-MAX(0,E32)*0.09</f>
        <v>-6.1035780821917811</v>
      </c>
      <c r="F33" s="19">
        <f>-MAX(0,F32)*0.09</f>
        <v>-10.82317931506849</v>
      </c>
    </row>
    <row r="35" spans="1:6">
      <c r="A35" s="53" t="s">
        <v>558</v>
      </c>
      <c r="B35" s="51">
        <f>B32+B33</f>
        <v>-2.3219965753424656</v>
      </c>
      <c r="C35" s="51">
        <f>C32+C33</f>
        <v>3.9983592465753404</v>
      </c>
      <c r="D35" s="51">
        <f>D32+D33</f>
        <v>26.3284191780822</v>
      </c>
      <c r="E35" s="51">
        <f>E32+E33</f>
        <v>61.713956164383568</v>
      </c>
      <c r="F35" s="51">
        <f>F32+F33</f>
        <v>109.43436863013697</v>
      </c>
    </row>
    <row r="37" spans="1:6">
      <c r="A37" t="s">
        <v>559</v>
      </c>
      <c r="B37" s="149">
        <f>B35/B5*100</f>
        <v>-4.5658114478114475</v>
      </c>
      <c r="C37" s="149">
        <f>C35/C5*100</f>
        <v>1.3103489337822665</v>
      </c>
      <c r="D37" s="149">
        <f>D35/D5*100</f>
        <v>3.2356474747474753</v>
      </c>
      <c r="E37" s="149">
        <f>E35/E5*100</f>
        <v>3.7921875420875417</v>
      </c>
      <c r="F37" s="149">
        <f>F35/F5*100</f>
        <v>4.1381553535353524</v>
      </c>
    </row>
    <row r="38" spans="1:6">
      <c r="A38" s="53" t="s">
        <v>560</v>
      </c>
      <c r="B38" s="150">
        <f>IF(B13&gt;0,B35/B13*100,0)</f>
        <v>-32.612938912938908</v>
      </c>
      <c r="C38" s="150">
        <f>IF(C13&gt;0,C35/C13*100,0)</f>
        <v>9.3596352413019019</v>
      </c>
      <c r="D38" s="150">
        <f>IF(D13&gt;0,D35/D13*100,0)</f>
        <v>23.111767676767684</v>
      </c>
      <c r="E38" s="150">
        <f>IF(E13&gt;0,E35/E13*100,0)</f>
        <v>27.087053872053872</v>
      </c>
      <c r="F38" s="150">
        <f>IF(F13&gt;0,F35/F13*100,0)</f>
        <v>29.558252525252527</v>
      </c>
    </row>
  </sheetData>
  <conditionalFormatting sqref="B35:F35">
    <cfRule type="cellIs" dxfId="1" priority="1" operator="lessThan">
      <formula>0</formula>
    </cfRule>
  </conditionalFormatting>
  <conditionalFormatting sqref="B38:F38">
    <cfRule type="cellIs" dxfId="0" priority="2" operator="lessThan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C7CD8"/>
  </sheetPr>
  <dimension ref="A1:D16"/>
  <sheetViews>
    <sheetView workbookViewId="0">
      <pane ySplit="4" topLeftCell="A5" activePane="bottomLeft" state="frozen"/>
      <selection pane="bottomLeft" activeCell="A2" sqref="A2"/>
    </sheetView>
  </sheetViews>
  <sheetFormatPr baseColWidth="10" defaultColWidth="8.83203125" defaultRowHeight="15"/>
  <cols>
    <col min="1" max="1" width="40" customWidth="1"/>
    <col min="2" max="4" width="16" customWidth="1"/>
    <col min="5" max="5" width="2" customWidth="1"/>
  </cols>
  <sheetData>
    <row r="1" spans="1:4" ht="23">
      <c r="A1" s="1" t="s">
        <v>172</v>
      </c>
    </row>
    <row r="2" spans="1:4">
      <c r="A2" s="138" t="s">
        <v>173</v>
      </c>
    </row>
    <row r="4" spans="1:4">
      <c r="A4" s="5" t="s">
        <v>174</v>
      </c>
      <c r="B4" s="5" t="s">
        <v>175</v>
      </c>
      <c r="C4" s="5" t="s">
        <v>176</v>
      </c>
      <c r="D4" s="5" t="s">
        <v>177</v>
      </c>
    </row>
    <row r="5" spans="1:4">
      <c r="A5" s="3" t="s">
        <v>178</v>
      </c>
      <c r="B5" s="24">
        <f>100000</f>
        <v>100000</v>
      </c>
      <c r="C5" s="24">
        <f>100000</f>
        <v>100000</v>
      </c>
      <c r="D5" s="24">
        <f>100000</f>
        <v>100000</v>
      </c>
    </row>
    <row r="6" spans="1:4">
      <c r="A6" s="3" t="s">
        <v>111</v>
      </c>
      <c r="B6" s="24">
        <f>B5*advance_rate/100</f>
        <v>90000</v>
      </c>
      <c r="C6" s="24">
        <f>B5*advance_rate/100</f>
        <v>90000</v>
      </c>
      <c r="D6" s="24">
        <f>B5*advance_rate/100</f>
        <v>90000</v>
      </c>
    </row>
    <row r="7" spans="1:4">
      <c r="A7" s="3" t="s">
        <v>179</v>
      </c>
      <c r="B7" s="24">
        <f>tenor_pay30</f>
        <v>30</v>
      </c>
      <c r="C7" s="24">
        <f>tenor_bnpl</f>
        <v>105</v>
      </c>
      <c r="D7" s="24">
        <f>tenor_ext</f>
        <v>180</v>
      </c>
    </row>
    <row r="8" spans="1:4">
      <c r="A8" s="3" t="s">
        <v>180</v>
      </c>
      <c r="B8" s="28">
        <f>fee_pay30_mo*12</f>
        <v>15.600000000000001</v>
      </c>
      <c r="C8" s="28">
        <f>fee_bnpl_mo*12</f>
        <v>18</v>
      </c>
      <c r="D8" s="28">
        <f>fee_ext_apr</f>
        <v>16</v>
      </c>
    </row>
    <row r="9" spans="1:4">
      <c r="A9" s="3" t="s">
        <v>181</v>
      </c>
      <c r="B9" s="24">
        <f>B6*B8/100*B7/365</f>
        <v>1153.9726027397262</v>
      </c>
      <c r="C9" s="24">
        <f>C6*C8/100*C7/365</f>
        <v>4660.2739726027394</v>
      </c>
      <c r="D9" s="24">
        <f>D6*D8/100*D7/365</f>
        <v>7101.3698630136987</v>
      </c>
    </row>
    <row r="10" spans="1:4">
      <c r="A10" s="3" t="s">
        <v>161</v>
      </c>
      <c r="B10" s="24">
        <f>B6*cof_apr/100*B7/365</f>
        <v>480.82191780821915</v>
      </c>
      <c r="C10" s="24">
        <f>C6*cof_apr/100*C7/365</f>
        <v>1682.8767123287671</v>
      </c>
      <c r="D10" s="24">
        <f>D6*cof_apr/100*D7/365</f>
        <v>2884.9315068493152</v>
      </c>
    </row>
    <row r="11" spans="1:4">
      <c r="A11" s="2" t="s">
        <v>162</v>
      </c>
      <c r="B11" s="25">
        <f>B9-B10</f>
        <v>673.15068493150704</v>
      </c>
      <c r="C11" s="25">
        <f>C9-C10</f>
        <v>2977.3972602739723</v>
      </c>
      <c r="D11" s="25">
        <f>D9-D10</f>
        <v>4216.4383561643835</v>
      </c>
    </row>
    <row r="12" spans="1:4">
      <c r="A12" s="3" t="s">
        <v>182</v>
      </c>
      <c r="B12" s="24">
        <f>B6*pd_pay30/100*lgd_pay30/100*ead_pay30/100*B7/365</f>
        <v>51.780821917808218</v>
      </c>
      <c r="C12" s="24">
        <f>C6*pd_bnpl/100*lgd_bnpl/100*ead_bnpl/100*C7/365</f>
        <v>466.02739726027397</v>
      </c>
      <c r="D12" s="24">
        <f>D6*pd_ext/100*lgd_ext/100*ead_ext/100*D7/365</f>
        <v>2884.9315068493152</v>
      </c>
    </row>
    <row r="13" spans="1:4">
      <c r="A13" s="2" t="s">
        <v>164</v>
      </c>
      <c r="B13" s="25">
        <f>B11-B12</f>
        <v>621.36986301369882</v>
      </c>
      <c r="C13" s="25">
        <f>C11-C12</f>
        <v>2511.3698630136983</v>
      </c>
      <c r="D13" s="25">
        <f>D11-D12</f>
        <v>1331.5068493150684</v>
      </c>
    </row>
    <row r="14" spans="1:4">
      <c r="A14" s="3" t="s">
        <v>183</v>
      </c>
      <c r="B14" s="24">
        <f>B6*opex_pct/100*B7/365</f>
        <v>177.53424657534248</v>
      </c>
      <c r="C14" s="24">
        <f>C6*opex_pct/100*C7/365</f>
        <v>621.36986301369859</v>
      </c>
      <c r="D14" s="24">
        <f>D6*opex_pct/100*D7/365</f>
        <v>1065.2054794520548</v>
      </c>
    </row>
    <row r="15" spans="1:4">
      <c r="A15" s="2" t="s">
        <v>184</v>
      </c>
      <c r="B15" s="27">
        <f>B13-B14</f>
        <v>443.83561643835634</v>
      </c>
      <c r="C15" s="27">
        <f>C13-C14</f>
        <v>1889.9999999999995</v>
      </c>
      <c r="D15" s="27">
        <f>D13-D14</f>
        <v>266.30136986301363</v>
      </c>
    </row>
    <row r="16" spans="1:4">
      <c r="A16" s="2" t="s">
        <v>185</v>
      </c>
      <c r="B16" s="29">
        <f>B15/B5*100</f>
        <v>0.44383561643835634</v>
      </c>
      <c r="C16" s="29">
        <f>C15/C5*100</f>
        <v>1.8899999999999997</v>
      </c>
      <c r="D16" s="29">
        <f>D15/D5*100</f>
        <v>0.26630136986301367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8A87C"/>
  </sheetPr>
  <dimension ref="A1:Q17"/>
  <sheetViews>
    <sheetView workbookViewId="0">
      <pane ySplit="4" topLeftCell="A5" activePane="bottomLeft" state="frozen"/>
      <selection pane="bottomLeft" activeCell="A15" activeCellId="1" sqref="A2 A15:A17"/>
    </sheetView>
  </sheetViews>
  <sheetFormatPr baseColWidth="10" defaultColWidth="8.83203125" defaultRowHeight="15" outlineLevelCol="1"/>
  <cols>
    <col min="1" max="1" width="28" customWidth="1"/>
    <col min="2" max="9" width="12" customWidth="1"/>
    <col min="10" max="10" width="12" customWidth="1" outlineLevel="1"/>
    <col min="11" max="17" width="8.83203125" outlineLevel="1"/>
  </cols>
  <sheetData>
    <row r="1" spans="1:17" ht="23">
      <c r="A1" s="1" t="s">
        <v>532</v>
      </c>
    </row>
    <row r="2" spans="1:17">
      <c r="A2" s="138" t="s">
        <v>186</v>
      </c>
    </row>
    <row r="3" spans="1:17">
      <c r="J3" s="16" t="s">
        <v>543</v>
      </c>
      <c r="K3">
        <v>0.6</v>
      </c>
      <c r="L3">
        <v>0.8</v>
      </c>
      <c r="M3">
        <v>1</v>
      </c>
      <c r="N3">
        <v>1.2</v>
      </c>
      <c r="O3">
        <v>1.5</v>
      </c>
      <c r="P3">
        <v>1.8</v>
      </c>
      <c r="Q3">
        <v>2.2000000000000002</v>
      </c>
    </row>
    <row r="4" spans="1:17">
      <c r="A4" s="2" t="s">
        <v>542</v>
      </c>
      <c r="B4" s="2" t="s">
        <v>535</v>
      </c>
      <c r="C4" s="2" t="s">
        <v>536</v>
      </c>
      <c r="D4" s="2" t="s">
        <v>537</v>
      </c>
      <c r="E4" s="2" t="s">
        <v>538</v>
      </c>
      <c r="F4" s="2" t="s">
        <v>539</v>
      </c>
      <c r="G4" s="2" t="s">
        <v>540</v>
      </c>
      <c r="H4" s="2" t="s">
        <v>541</v>
      </c>
      <c r="J4" s="17" t="s">
        <v>228</v>
      </c>
    </row>
    <row r="5" spans="1:17">
      <c r="A5" s="2" t="s">
        <v>187</v>
      </c>
      <c r="B5" s="30">
        <f>(disb_y3*advance_rate/100*tenor_pay30/365*mix_pay30/100)*(fee_pay30_mo*12/100-$J5-pd_pay30*K$3*lgd_pay30/100*ead_pay30/100/100-opex_pct*opex_y3_mult/100)+(disb_y3*advance_rate/100*tenor_bnpl/365*mix_bnpl/100)*(fee_bnpl_mo*12/100-$J5-pd_bnpl*K$3*lgd_bnpl/100*ead_bnpl/100/100-opex_pct*opex_y3_mult/100)+(disb_y3*advance_rate/100*tenor_ext/365*mix_ext/100)*(fee_ext_apr/100-$J5-pd_ext*K$3*lgd_ext/100*ead_ext/100/100-opex_pct*opex_y3_mult/100)</f>
        <v>62.779068493150689</v>
      </c>
      <c r="C5" s="30">
        <f>(disb_y3*advance_rate/100*tenor_pay30/365*mix_pay30/100)*(fee_pay30_mo*12/100-$J5-pd_pay30*L$3*lgd_pay30/100*ead_pay30/100/100-opex_pct*opex_y3_mult/100)+(disb_y3*advance_rate/100*tenor_bnpl/365*mix_bnpl/100)*(fee_bnpl_mo*12/100-$J5-pd_bnpl*L$3*lgd_bnpl/100*ead_bnpl/100/100-opex_pct*opex_y3_mult/100)+(disb_y3*advance_rate/100*tenor_ext/365*mix_ext/100)*(fee_ext_apr/100-$J5-pd_ext*L$3*lgd_ext/100*ead_ext/100/100-opex_pct*opex_y3_mult/100)</f>
        <v>58.441315068493161</v>
      </c>
      <c r="D5" s="30">
        <f>(disb_y3*advance_rate/100*tenor_pay30/365*mix_pay30/100)*(fee_pay30_mo*12/100-$J5-pd_pay30*M$3*lgd_pay30/100*ead_pay30/100/100-opex_pct*opex_y3_mult/100)+(disb_y3*advance_rate/100*tenor_bnpl/365*mix_bnpl/100)*(fee_bnpl_mo*12/100-$J5-pd_bnpl*M$3*lgd_bnpl/100*ead_bnpl/100/100-opex_pct*opex_y3_mult/100)+(disb_y3*advance_rate/100*tenor_ext/365*mix_ext/100)*(fee_ext_apr/100-$J5-pd_ext*M$3*lgd_ext/100*ead_ext/100/100-opex_pct*opex_y3_mult/100)</f>
        <v>54.103561643835612</v>
      </c>
      <c r="E5" s="30">
        <f>(disb_y3*advance_rate/100*tenor_pay30/365*mix_pay30/100)*(fee_pay30_mo*12/100-$J5-pd_pay30*N$3*lgd_pay30/100*ead_pay30/100/100-opex_pct*opex_y3_mult/100)+(disb_y3*advance_rate/100*tenor_bnpl/365*mix_bnpl/100)*(fee_bnpl_mo*12/100-$J5-pd_bnpl*N$3*lgd_bnpl/100*ead_bnpl/100/100-opex_pct*opex_y3_mult/100)+(disb_y3*advance_rate/100*tenor_ext/365*mix_ext/100)*(fee_ext_apr/100-$J5-pd_ext*N$3*lgd_ext/100*ead_ext/100/100-opex_pct*opex_y3_mult/100)</f>
        <v>49.765808219178084</v>
      </c>
      <c r="F5" s="30">
        <f>(disb_y3*advance_rate/100*tenor_pay30/365*mix_pay30/100)*(fee_pay30_mo*12/100-$J5-pd_pay30*O$3*lgd_pay30/100*ead_pay30/100/100-opex_pct*opex_y3_mult/100)+(disb_y3*advance_rate/100*tenor_bnpl/365*mix_bnpl/100)*(fee_bnpl_mo*12/100-$J5-pd_bnpl*O$3*lgd_bnpl/100*ead_bnpl/100/100-opex_pct*opex_y3_mult/100)+(disb_y3*advance_rate/100*tenor_ext/365*mix_ext/100)*(fee_ext_apr/100-$J5-pd_ext*O$3*lgd_ext/100*ead_ext/100/100-opex_pct*opex_y3_mult/100)</f>
        <v>43.259178082191781</v>
      </c>
      <c r="G5" s="30">
        <f>(disb_y3*advance_rate/100*tenor_pay30/365*mix_pay30/100)*(fee_pay30_mo*12/100-$J5-pd_pay30*P$3*lgd_pay30/100*ead_pay30/100/100-opex_pct*opex_y3_mult/100)+(disb_y3*advance_rate/100*tenor_bnpl/365*mix_bnpl/100)*(fee_bnpl_mo*12/100-$J5-pd_bnpl*P$3*lgd_bnpl/100*ead_bnpl/100/100-opex_pct*opex_y3_mult/100)+(disb_y3*advance_rate/100*tenor_ext/365*mix_ext/100)*(fee_ext_apr/100-$J5-pd_ext*P$3*lgd_ext/100*ead_ext/100/100-opex_pct*opex_y3_mult/100)</f>
        <v>36.752547945205478</v>
      </c>
      <c r="H5" s="30">
        <f>(disb_y3*advance_rate/100*tenor_pay30/365*mix_pay30/100)*(fee_pay30_mo*12/100-$J5-pd_pay30*Q$3*lgd_pay30/100*ead_pay30/100/100-opex_pct*opex_y3_mult/100)+(disb_y3*advance_rate/100*tenor_bnpl/365*mix_bnpl/100)*(fee_bnpl_mo*12/100-$J5-pd_bnpl*Q$3*lgd_bnpl/100*ead_bnpl/100/100-opex_pct*opex_y3_mult/100)+(disb_y3*advance_rate/100*tenor_ext/365*mix_ext/100)*(fee_ext_apr/100-$J5-pd_ext*Q$3*lgd_ext/100*ead_ext/100/100-opex_pct*opex_y3_mult/100)</f>
        <v>28.077041095890415</v>
      </c>
      <c r="J5" s="13">
        <v>5.5E-2</v>
      </c>
    </row>
    <row r="6" spans="1:17">
      <c r="A6" s="2" t="s">
        <v>188</v>
      </c>
      <c r="B6" s="30">
        <f>(disb_y3*advance_rate/100*tenor_pay30/365*mix_pay30/100)*(fee_pay30_mo*12/100-$J6-pd_pay30*K$3*lgd_pay30/100*ead_pay30/100/100-opex_pct*opex_y3_mult/100)+(disb_y3*advance_rate/100*tenor_bnpl/365*mix_bnpl/100)*(fee_bnpl_mo*12/100-$J6-pd_bnpl*K$3*lgd_bnpl/100*ead_bnpl/100/100-opex_pct*opex_y3_mult/100)+(disb_y3*advance_rate/100*tenor_ext/365*mix_ext/100)*(fee_ext_apr/100-$J6-pd_ext*K$3*lgd_ext/100*ead_ext/100/100-opex_pct*opex_y3_mult/100)</f>
        <v>58.710575342465752</v>
      </c>
      <c r="C6" s="30">
        <f>(disb_y3*advance_rate/100*tenor_pay30/365*mix_pay30/100)*(fee_pay30_mo*12/100-$J6-pd_pay30*L$3*lgd_pay30/100*ead_pay30/100/100-opex_pct*opex_y3_mult/100)+(disb_y3*advance_rate/100*tenor_bnpl/365*mix_bnpl/100)*(fee_bnpl_mo*12/100-$J6-pd_bnpl*L$3*lgd_bnpl/100*ead_bnpl/100/100-opex_pct*opex_y3_mult/100)+(disb_y3*advance_rate/100*tenor_ext/365*mix_ext/100)*(fee_ext_apr/100-$J6-pd_ext*L$3*lgd_ext/100*ead_ext/100/100-opex_pct*opex_y3_mult/100)</f>
        <v>54.372821917808224</v>
      </c>
      <c r="D6" s="30">
        <f>(disb_y3*advance_rate/100*tenor_pay30/365*mix_pay30/100)*(fee_pay30_mo*12/100-$J6-pd_pay30*M$3*lgd_pay30/100*ead_pay30/100/100-opex_pct*opex_y3_mult/100)+(disb_y3*advance_rate/100*tenor_bnpl/365*mix_bnpl/100)*(fee_bnpl_mo*12/100-$J6-pd_bnpl*M$3*lgd_bnpl/100*ead_bnpl/100/100-opex_pct*opex_y3_mult/100)+(disb_y3*advance_rate/100*tenor_ext/365*mix_ext/100)*(fee_ext_apr/100-$J6-pd_ext*M$3*lgd_ext/100*ead_ext/100/100-opex_pct*opex_y3_mult/100)</f>
        <v>50.035068493150675</v>
      </c>
      <c r="E6" s="30">
        <f>(disb_y3*advance_rate/100*tenor_pay30/365*mix_pay30/100)*(fee_pay30_mo*12/100-$J6-pd_pay30*N$3*lgd_pay30/100*ead_pay30/100/100-opex_pct*opex_y3_mult/100)+(disb_y3*advance_rate/100*tenor_bnpl/365*mix_bnpl/100)*(fee_bnpl_mo*12/100-$J6-pd_bnpl*N$3*lgd_bnpl/100*ead_bnpl/100/100-opex_pct*opex_y3_mult/100)+(disb_y3*advance_rate/100*tenor_ext/365*mix_ext/100)*(fee_ext_apr/100-$J6-pd_ext*N$3*lgd_ext/100*ead_ext/100/100-opex_pct*opex_y3_mult/100)</f>
        <v>45.697315068493147</v>
      </c>
      <c r="F6" s="30">
        <f>(disb_y3*advance_rate/100*tenor_pay30/365*mix_pay30/100)*(fee_pay30_mo*12/100-$J6-pd_pay30*O$3*lgd_pay30/100*ead_pay30/100/100-opex_pct*opex_y3_mult/100)+(disb_y3*advance_rate/100*tenor_bnpl/365*mix_bnpl/100)*(fee_bnpl_mo*12/100-$J6-pd_bnpl*O$3*lgd_bnpl/100*ead_bnpl/100/100-opex_pct*opex_y3_mult/100)+(disb_y3*advance_rate/100*tenor_ext/365*mix_ext/100)*(fee_ext_apr/100-$J6-pd_ext*O$3*lgd_ext/100*ead_ext/100/100-opex_pct*opex_y3_mult/100)</f>
        <v>39.190684931506844</v>
      </c>
      <c r="G6" s="30">
        <f>(disb_y3*advance_rate/100*tenor_pay30/365*mix_pay30/100)*(fee_pay30_mo*12/100-$J6-pd_pay30*P$3*lgd_pay30/100*ead_pay30/100/100-opex_pct*opex_y3_mult/100)+(disb_y3*advance_rate/100*tenor_bnpl/365*mix_bnpl/100)*(fee_bnpl_mo*12/100-$J6-pd_bnpl*P$3*lgd_bnpl/100*ead_bnpl/100/100-opex_pct*opex_y3_mult/100)+(disb_y3*advance_rate/100*tenor_ext/365*mix_ext/100)*(fee_ext_apr/100-$J6-pd_ext*P$3*lgd_ext/100*ead_ext/100/100-opex_pct*opex_y3_mult/100)</f>
        <v>32.684054794520542</v>
      </c>
      <c r="H6" s="30">
        <f>(disb_y3*advance_rate/100*tenor_pay30/365*mix_pay30/100)*(fee_pay30_mo*12/100-$J6-pd_pay30*Q$3*lgd_pay30/100*ead_pay30/100/100-opex_pct*opex_y3_mult/100)+(disb_y3*advance_rate/100*tenor_bnpl/365*mix_bnpl/100)*(fee_bnpl_mo*12/100-$J6-pd_bnpl*Q$3*lgd_bnpl/100*ead_bnpl/100/100-opex_pct*opex_y3_mult/100)+(disb_y3*advance_rate/100*tenor_ext/365*mix_ext/100)*(fee_ext_apr/100-$J6-pd_ext*Q$3*lgd_ext/100*ead_ext/100/100-opex_pct*opex_y3_mult/100)</f>
        <v>24.008547945205478</v>
      </c>
      <c r="J6" s="13">
        <v>0.06</v>
      </c>
    </row>
    <row r="7" spans="1:17">
      <c r="A7" s="2" t="s">
        <v>189</v>
      </c>
      <c r="B7" s="30">
        <f>(disb_y3*advance_rate/100*tenor_pay30/365*mix_pay30/100)*(fee_pay30_mo*12/100-$J7-pd_pay30*K$3*lgd_pay30/100*ead_pay30/100/100-opex_pct*opex_y3_mult/100)+(disb_y3*advance_rate/100*tenor_bnpl/365*mix_bnpl/100)*(fee_bnpl_mo*12/100-$J7-pd_bnpl*K$3*lgd_bnpl/100*ead_bnpl/100/100-opex_pct*opex_y3_mult/100)+(disb_y3*advance_rate/100*tenor_ext/365*mix_ext/100)*(fee_ext_apr/100-$J7-pd_ext*K$3*lgd_ext/100*ead_ext/100/100-opex_pct*opex_y3_mult/100)</f>
        <v>54.642082191780815</v>
      </c>
      <c r="C7" s="30">
        <f>(disb_y3*advance_rate/100*tenor_pay30/365*mix_pay30/100)*(fee_pay30_mo*12/100-$J7-pd_pay30*L$3*lgd_pay30/100*ead_pay30/100/100-opex_pct*opex_y3_mult/100)+(disb_y3*advance_rate/100*tenor_bnpl/365*mix_bnpl/100)*(fee_bnpl_mo*12/100-$J7-pd_bnpl*L$3*lgd_bnpl/100*ead_bnpl/100/100-opex_pct*opex_y3_mult/100)+(disb_y3*advance_rate/100*tenor_ext/365*mix_ext/100)*(fee_ext_apr/100-$J7-pd_ext*L$3*lgd_ext/100*ead_ext/100/100-opex_pct*opex_y3_mult/100)</f>
        <v>50.304328767123287</v>
      </c>
      <c r="D7" s="30">
        <f>(disb_y3*advance_rate/100*tenor_pay30/365*mix_pay30/100)*(fee_pay30_mo*12/100-$J7-pd_pay30*M$3*lgd_pay30/100*ead_pay30/100/100-opex_pct*opex_y3_mult/100)+(disb_y3*advance_rate/100*tenor_bnpl/365*mix_bnpl/100)*(fee_bnpl_mo*12/100-$J7-pd_bnpl*M$3*lgd_bnpl/100*ead_bnpl/100/100-opex_pct*opex_y3_mult/100)+(disb_y3*advance_rate/100*tenor_ext/365*mix_ext/100)*(fee_ext_apr/100-$J7-pd_ext*M$3*lgd_ext/100*ead_ext/100/100-opex_pct*opex_y3_mult/100)</f>
        <v>45.966575342465745</v>
      </c>
      <c r="E7" s="30">
        <f>(disb_y3*advance_rate/100*tenor_pay30/365*mix_pay30/100)*(fee_pay30_mo*12/100-$J7-pd_pay30*N$3*lgd_pay30/100*ead_pay30/100/100-opex_pct*opex_y3_mult/100)+(disb_y3*advance_rate/100*tenor_bnpl/365*mix_bnpl/100)*(fee_bnpl_mo*12/100-$J7-pd_bnpl*N$3*lgd_bnpl/100*ead_bnpl/100/100-opex_pct*opex_y3_mult/100)+(disb_y3*advance_rate/100*tenor_ext/365*mix_ext/100)*(fee_ext_apr/100-$J7-pd_ext*N$3*lgd_ext/100*ead_ext/100/100-opex_pct*opex_y3_mult/100)</f>
        <v>41.628821917808217</v>
      </c>
      <c r="F7" s="30">
        <f>(disb_y3*advance_rate/100*tenor_pay30/365*mix_pay30/100)*(fee_pay30_mo*12/100-$J7-pd_pay30*O$3*lgd_pay30/100*ead_pay30/100/100-opex_pct*opex_y3_mult/100)+(disb_y3*advance_rate/100*tenor_bnpl/365*mix_bnpl/100)*(fee_bnpl_mo*12/100-$J7-pd_bnpl*O$3*lgd_bnpl/100*ead_bnpl/100/100-opex_pct*opex_y3_mult/100)+(disb_y3*advance_rate/100*tenor_ext/365*mix_ext/100)*(fee_ext_apr/100-$J7-pd_ext*O$3*lgd_ext/100*ead_ext/100/100-opex_pct*opex_y3_mult/100)</f>
        <v>35.122191780821915</v>
      </c>
      <c r="G7" s="30">
        <f>(disb_y3*advance_rate/100*tenor_pay30/365*mix_pay30/100)*(fee_pay30_mo*12/100-$J7-pd_pay30*P$3*lgd_pay30/100*ead_pay30/100/100-opex_pct*opex_y3_mult/100)+(disb_y3*advance_rate/100*tenor_bnpl/365*mix_bnpl/100)*(fee_bnpl_mo*12/100-$J7-pd_bnpl*P$3*lgd_bnpl/100*ead_bnpl/100/100-opex_pct*opex_y3_mult/100)+(disb_y3*advance_rate/100*tenor_ext/365*mix_ext/100)*(fee_ext_apr/100-$J7-pd_ext*P$3*lgd_ext/100*ead_ext/100/100-opex_pct*opex_y3_mult/100)</f>
        <v>28.615561643835605</v>
      </c>
      <c r="H7" s="30">
        <f>(disb_y3*advance_rate/100*tenor_pay30/365*mix_pay30/100)*(fee_pay30_mo*12/100-$J7-pd_pay30*Q$3*lgd_pay30/100*ead_pay30/100/100-opex_pct*opex_y3_mult/100)+(disb_y3*advance_rate/100*tenor_bnpl/365*mix_bnpl/100)*(fee_bnpl_mo*12/100-$J7-pd_bnpl*Q$3*lgd_bnpl/100*ead_bnpl/100/100-opex_pct*opex_y3_mult/100)+(disb_y3*advance_rate/100*tenor_ext/365*mix_ext/100)*(fee_ext_apr/100-$J7-pd_ext*Q$3*lgd_ext/100*ead_ext/100/100-opex_pct*opex_y3_mult/100)</f>
        <v>19.940054794520542</v>
      </c>
      <c r="J7" s="13">
        <v>6.5000000000000002E-2</v>
      </c>
    </row>
    <row r="8" spans="1:17">
      <c r="A8" s="2" t="s">
        <v>190</v>
      </c>
      <c r="B8" s="30">
        <f>(disb_y3*advance_rate/100*tenor_pay30/365*mix_pay30/100)*(fee_pay30_mo*12/100-$J8-pd_pay30*K$3*lgd_pay30/100*ead_pay30/100/100-opex_pct*opex_y3_mult/100)+(disb_y3*advance_rate/100*tenor_bnpl/365*mix_bnpl/100)*(fee_bnpl_mo*12/100-$J8-pd_bnpl*K$3*lgd_bnpl/100*ead_bnpl/100/100-opex_pct*opex_y3_mult/100)+(disb_y3*advance_rate/100*tenor_ext/365*mix_ext/100)*(fee_ext_apr/100-$J8-pd_ext*K$3*lgd_ext/100*ead_ext/100/100-opex_pct*opex_y3_mult/100)</f>
        <v>50.573589041095886</v>
      </c>
      <c r="C8" s="30">
        <f>(disb_y3*advance_rate/100*tenor_pay30/365*mix_pay30/100)*(fee_pay30_mo*12/100-$J8-pd_pay30*L$3*lgd_pay30/100*ead_pay30/100/100-opex_pct*opex_y3_mult/100)+(disb_y3*advance_rate/100*tenor_bnpl/365*mix_bnpl/100)*(fee_bnpl_mo*12/100-$J8-pd_bnpl*L$3*lgd_bnpl/100*ead_bnpl/100/100-opex_pct*opex_y3_mult/100)+(disb_y3*advance_rate/100*tenor_ext/365*mix_ext/100)*(fee_ext_apr/100-$J8-pd_ext*L$3*lgd_ext/100*ead_ext/100/100-opex_pct*opex_y3_mult/100)</f>
        <v>46.235835616438351</v>
      </c>
      <c r="D8" s="30">
        <f>(disb_y3*advance_rate/100*tenor_pay30/365*mix_pay30/100)*(fee_pay30_mo*12/100-$J8-pd_pay30*M$3*lgd_pay30/100*ead_pay30/100/100-opex_pct*opex_y3_mult/100)+(disb_y3*advance_rate/100*tenor_bnpl/365*mix_bnpl/100)*(fee_bnpl_mo*12/100-$J8-pd_bnpl*M$3*lgd_bnpl/100*ead_bnpl/100/100-opex_pct*opex_y3_mult/100)+(disb_y3*advance_rate/100*tenor_ext/365*mix_ext/100)*(fee_ext_apr/100-$J8-pd_ext*M$3*lgd_ext/100*ead_ext/100/100-opex_pct*opex_y3_mult/100)</f>
        <v>41.898082191780809</v>
      </c>
      <c r="E8" s="30">
        <f>(disb_y3*advance_rate/100*tenor_pay30/365*mix_pay30/100)*(fee_pay30_mo*12/100-$J8-pd_pay30*N$3*lgd_pay30/100*ead_pay30/100/100-opex_pct*opex_y3_mult/100)+(disb_y3*advance_rate/100*tenor_bnpl/365*mix_bnpl/100)*(fee_bnpl_mo*12/100-$J8-pd_bnpl*N$3*lgd_bnpl/100*ead_bnpl/100/100-opex_pct*opex_y3_mult/100)+(disb_y3*advance_rate/100*tenor_ext/365*mix_ext/100)*(fee_ext_apr/100-$J8-pd_ext*N$3*lgd_ext/100*ead_ext/100/100-opex_pct*opex_y3_mult/100)</f>
        <v>37.560328767123281</v>
      </c>
      <c r="F8" s="30">
        <f>(disb_y3*advance_rate/100*tenor_pay30/365*mix_pay30/100)*(fee_pay30_mo*12/100-$J8-pd_pay30*O$3*lgd_pay30/100*ead_pay30/100/100-opex_pct*opex_y3_mult/100)+(disb_y3*advance_rate/100*tenor_bnpl/365*mix_bnpl/100)*(fee_bnpl_mo*12/100-$J8-pd_bnpl*O$3*lgd_bnpl/100*ead_bnpl/100/100-opex_pct*opex_y3_mult/100)+(disb_y3*advance_rate/100*tenor_ext/365*mix_ext/100)*(fee_ext_apr/100-$J8-pd_ext*O$3*lgd_ext/100*ead_ext/100/100-opex_pct*opex_y3_mult/100)</f>
        <v>31.053698630136978</v>
      </c>
      <c r="G8" s="30">
        <f>(disb_y3*advance_rate/100*tenor_pay30/365*mix_pay30/100)*(fee_pay30_mo*12/100-$J8-pd_pay30*P$3*lgd_pay30/100*ead_pay30/100/100-opex_pct*opex_y3_mult/100)+(disb_y3*advance_rate/100*tenor_bnpl/365*mix_bnpl/100)*(fee_bnpl_mo*12/100-$J8-pd_bnpl*P$3*lgd_bnpl/100*ead_bnpl/100/100-opex_pct*opex_y3_mult/100)+(disb_y3*advance_rate/100*tenor_ext/365*mix_ext/100)*(fee_ext_apr/100-$J8-pd_ext*P$3*lgd_ext/100*ead_ext/100/100-opex_pct*opex_y3_mult/100)</f>
        <v>24.547068493150668</v>
      </c>
      <c r="H8" s="30">
        <f>(disb_y3*advance_rate/100*tenor_pay30/365*mix_pay30/100)*(fee_pay30_mo*12/100-$J8-pd_pay30*Q$3*lgd_pay30/100*ead_pay30/100/100-opex_pct*opex_y3_mult/100)+(disb_y3*advance_rate/100*tenor_bnpl/365*mix_bnpl/100)*(fee_bnpl_mo*12/100-$J8-pd_bnpl*Q$3*lgd_bnpl/100*ead_bnpl/100/100-opex_pct*opex_y3_mult/100)+(disb_y3*advance_rate/100*tenor_ext/365*mix_ext/100)*(fee_ext_apr/100-$J8-pd_ext*Q$3*lgd_ext/100*ead_ext/100/100-opex_pct*opex_y3_mult/100)</f>
        <v>15.871561643835609</v>
      </c>
      <c r="J8" s="13">
        <v>7.0000000000000007E-2</v>
      </c>
    </row>
    <row r="9" spans="1:17">
      <c r="A9" s="2" t="s">
        <v>191</v>
      </c>
      <c r="B9" s="30">
        <f>(disb_y3*advance_rate/100*tenor_pay30/365*mix_pay30/100)*(fee_pay30_mo*12/100-$J9-pd_pay30*K$3*lgd_pay30/100*ead_pay30/100/100-opex_pct*opex_y3_mult/100)+(disb_y3*advance_rate/100*tenor_bnpl/365*mix_bnpl/100)*(fee_bnpl_mo*12/100-$J9-pd_bnpl*K$3*lgd_bnpl/100*ead_bnpl/100/100-opex_pct*opex_y3_mult/100)+(disb_y3*advance_rate/100*tenor_ext/365*mix_ext/100)*(fee_ext_apr/100-$J9-pd_ext*K$3*lgd_ext/100*ead_ext/100/100-opex_pct*opex_y3_mult/100)</f>
        <v>46.505095890410949</v>
      </c>
      <c r="C9" s="30">
        <f>(disb_y3*advance_rate/100*tenor_pay30/365*mix_pay30/100)*(fee_pay30_mo*12/100-$J9-pd_pay30*L$3*lgd_pay30/100*ead_pay30/100/100-opex_pct*opex_y3_mult/100)+(disb_y3*advance_rate/100*tenor_bnpl/365*mix_bnpl/100)*(fee_bnpl_mo*12/100-$J9-pd_bnpl*L$3*lgd_bnpl/100*ead_bnpl/100/100-opex_pct*opex_y3_mult/100)+(disb_y3*advance_rate/100*tenor_ext/365*mix_ext/100)*(fee_ext_apr/100-$J9-pd_ext*L$3*lgd_ext/100*ead_ext/100/100-opex_pct*opex_y3_mult/100)</f>
        <v>42.167342465753421</v>
      </c>
      <c r="D9" s="30">
        <f>(disb_y3*advance_rate/100*tenor_pay30/365*mix_pay30/100)*(fee_pay30_mo*12/100-$J9-pd_pay30*M$3*lgd_pay30/100*ead_pay30/100/100-opex_pct*opex_y3_mult/100)+(disb_y3*advance_rate/100*tenor_bnpl/365*mix_bnpl/100)*(fee_bnpl_mo*12/100-$J9-pd_bnpl*M$3*lgd_bnpl/100*ead_bnpl/100/100-opex_pct*opex_y3_mult/100)+(disb_y3*advance_rate/100*tenor_ext/365*mix_ext/100)*(fee_ext_apr/100-$J9-pd_ext*M$3*lgd_ext/100*ead_ext/100/100-opex_pct*opex_y3_mult/100)</f>
        <v>37.829589041095886</v>
      </c>
      <c r="E9" s="30">
        <f>(disb_y3*advance_rate/100*tenor_pay30/365*mix_pay30/100)*(fee_pay30_mo*12/100-$J9-pd_pay30*N$3*lgd_pay30/100*ead_pay30/100/100-opex_pct*opex_y3_mult/100)+(disb_y3*advance_rate/100*tenor_bnpl/365*mix_bnpl/100)*(fee_bnpl_mo*12/100-$J9-pd_bnpl*N$3*lgd_bnpl/100*ead_bnpl/100/100-opex_pct*opex_y3_mult/100)+(disb_y3*advance_rate/100*tenor_ext/365*mix_ext/100)*(fee_ext_apr/100-$J9-pd_ext*N$3*lgd_ext/100*ead_ext/100/100-opex_pct*opex_y3_mult/100)</f>
        <v>33.491835616438358</v>
      </c>
      <c r="F9" s="30">
        <f>(disb_y3*advance_rate/100*tenor_pay30/365*mix_pay30/100)*(fee_pay30_mo*12/100-$J9-pd_pay30*O$3*lgd_pay30/100*ead_pay30/100/100-opex_pct*opex_y3_mult/100)+(disb_y3*advance_rate/100*tenor_bnpl/365*mix_bnpl/100)*(fee_bnpl_mo*12/100-$J9-pd_bnpl*O$3*lgd_bnpl/100*ead_bnpl/100/100-opex_pct*opex_y3_mult/100)+(disb_y3*advance_rate/100*tenor_ext/365*mix_ext/100)*(fee_ext_apr/100-$J9-pd_ext*O$3*lgd_ext/100*ead_ext/100/100-opex_pct*opex_y3_mult/100)</f>
        <v>26.985205479452052</v>
      </c>
      <c r="G9" s="30">
        <f>(disb_y3*advance_rate/100*tenor_pay30/365*mix_pay30/100)*(fee_pay30_mo*12/100-$J9-pd_pay30*P$3*lgd_pay30/100*ead_pay30/100/100-opex_pct*opex_y3_mult/100)+(disb_y3*advance_rate/100*tenor_bnpl/365*mix_bnpl/100)*(fee_bnpl_mo*12/100-$J9-pd_bnpl*P$3*lgd_bnpl/100*ead_bnpl/100/100-opex_pct*opex_y3_mult/100)+(disb_y3*advance_rate/100*tenor_ext/365*mix_ext/100)*(fee_ext_apr/100-$J9-pd_ext*P$3*lgd_ext/100*ead_ext/100/100-opex_pct*opex_y3_mult/100)</f>
        <v>20.478575342465753</v>
      </c>
      <c r="H9" s="30">
        <f>(disb_y3*advance_rate/100*tenor_pay30/365*mix_pay30/100)*(fee_pay30_mo*12/100-$J9-pd_pay30*Q$3*lgd_pay30/100*ead_pay30/100/100-opex_pct*opex_y3_mult/100)+(disb_y3*advance_rate/100*tenor_bnpl/365*mix_bnpl/100)*(fee_bnpl_mo*12/100-$J9-pd_bnpl*Q$3*lgd_bnpl/100*ead_bnpl/100/100-opex_pct*opex_y3_mult/100)+(disb_y3*advance_rate/100*tenor_ext/365*mix_ext/100)*(fee_ext_apr/100-$J9-pd_ext*Q$3*lgd_ext/100*ead_ext/100/100-opex_pct*opex_y3_mult/100)</f>
        <v>11.803068493150674</v>
      </c>
      <c r="J9" s="13">
        <v>7.4999999999999997E-2</v>
      </c>
    </row>
    <row r="10" spans="1:17">
      <c r="A10" s="2" t="s">
        <v>192</v>
      </c>
      <c r="B10" s="30">
        <f>(disb_y3*advance_rate/100*tenor_pay30/365*mix_pay30/100)*(fee_pay30_mo*12/100-$J10-pd_pay30*K$3*lgd_pay30/100*ead_pay30/100/100-opex_pct*opex_y3_mult/100)+(disb_y3*advance_rate/100*tenor_bnpl/365*mix_bnpl/100)*(fee_bnpl_mo*12/100-$J10-pd_bnpl*K$3*lgd_bnpl/100*ead_bnpl/100/100-opex_pct*opex_y3_mult/100)+(disb_y3*advance_rate/100*tenor_ext/365*mix_ext/100)*(fee_ext_apr/100-$J10-pd_ext*K$3*lgd_ext/100*ead_ext/100/100-opex_pct*opex_y3_mult/100)</f>
        <v>42.436602739726013</v>
      </c>
      <c r="C10" s="30">
        <f>(disb_y3*advance_rate/100*tenor_pay30/365*mix_pay30/100)*(fee_pay30_mo*12/100-$J10-pd_pay30*L$3*lgd_pay30/100*ead_pay30/100/100-opex_pct*opex_y3_mult/100)+(disb_y3*advance_rate/100*tenor_bnpl/365*mix_bnpl/100)*(fee_bnpl_mo*12/100-$J10-pd_bnpl*L$3*lgd_bnpl/100*ead_bnpl/100/100-opex_pct*opex_y3_mult/100)+(disb_y3*advance_rate/100*tenor_ext/365*mix_ext/100)*(fee_ext_apr/100-$J10-pd_ext*L$3*lgd_ext/100*ead_ext/100/100-opex_pct*opex_y3_mult/100)</f>
        <v>38.098849315068492</v>
      </c>
      <c r="D10" s="30">
        <f>(disb_y3*advance_rate/100*tenor_pay30/365*mix_pay30/100)*(fee_pay30_mo*12/100-$J10-pd_pay30*M$3*lgd_pay30/100*ead_pay30/100/100-opex_pct*opex_y3_mult/100)+(disb_y3*advance_rate/100*tenor_bnpl/365*mix_bnpl/100)*(fee_bnpl_mo*12/100-$J10-pd_bnpl*M$3*lgd_bnpl/100*ead_bnpl/100/100-opex_pct*opex_y3_mult/100)+(disb_y3*advance_rate/100*tenor_ext/365*mix_ext/100)*(fee_ext_apr/100-$J10-pd_ext*M$3*lgd_ext/100*ead_ext/100/100-opex_pct*opex_y3_mult/100)</f>
        <v>33.761095890410949</v>
      </c>
      <c r="E10" s="30">
        <f>(disb_y3*advance_rate/100*tenor_pay30/365*mix_pay30/100)*(fee_pay30_mo*12/100-$J10-pd_pay30*N$3*lgd_pay30/100*ead_pay30/100/100-opex_pct*opex_y3_mult/100)+(disb_y3*advance_rate/100*tenor_bnpl/365*mix_bnpl/100)*(fee_bnpl_mo*12/100-$J10-pd_bnpl*N$3*lgd_bnpl/100*ead_bnpl/100/100-opex_pct*opex_y3_mult/100)+(disb_y3*advance_rate/100*tenor_ext/365*mix_ext/100)*(fee_ext_apr/100-$J10-pd_ext*N$3*lgd_ext/100*ead_ext/100/100-opex_pct*opex_y3_mult/100)</f>
        <v>29.423342465753421</v>
      </c>
      <c r="F10" s="30">
        <f>(disb_y3*advance_rate/100*tenor_pay30/365*mix_pay30/100)*(fee_pay30_mo*12/100-$J10-pd_pay30*O$3*lgd_pay30/100*ead_pay30/100/100-opex_pct*opex_y3_mult/100)+(disb_y3*advance_rate/100*tenor_bnpl/365*mix_bnpl/100)*(fee_bnpl_mo*12/100-$J10-pd_bnpl*O$3*lgd_bnpl/100*ead_bnpl/100/100-opex_pct*opex_y3_mult/100)+(disb_y3*advance_rate/100*tenor_ext/365*mix_ext/100)*(fee_ext_apr/100-$J10-pd_ext*O$3*lgd_ext/100*ead_ext/100/100-opex_pct*opex_y3_mult/100)</f>
        <v>22.916712328767115</v>
      </c>
      <c r="G10" s="30">
        <f>(disb_y3*advance_rate/100*tenor_pay30/365*mix_pay30/100)*(fee_pay30_mo*12/100-$J10-pd_pay30*P$3*lgd_pay30/100*ead_pay30/100/100-opex_pct*opex_y3_mult/100)+(disb_y3*advance_rate/100*tenor_bnpl/365*mix_bnpl/100)*(fee_bnpl_mo*12/100-$J10-pd_bnpl*P$3*lgd_bnpl/100*ead_bnpl/100/100-opex_pct*opex_y3_mult/100)+(disb_y3*advance_rate/100*tenor_ext/365*mix_ext/100)*(fee_ext_apr/100-$J10-pd_ext*P$3*lgd_ext/100*ead_ext/100/100-opex_pct*opex_y3_mult/100)</f>
        <v>16.41008219178082</v>
      </c>
      <c r="H10" s="30">
        <f>(disb_y3*advance_rate/100*tenor_pay30/365*mix_pay30/100)*(fee_pay30_mo*12/100-$J10-pd_pay30*Q$3*lgd_pay30/100*ead_pay30/100/100-opex_pct*opex_y3_mult/100)+(disb_y3*advance_rate/100*tenor_bnpl/365*mix_bnpl/100)*(fee_bnpl_mo*12/100-$J10-pd_bnpl*Q$3*lgd_bnpl/100*ead_bnpl/100/100-opex_pct*opex_y3_mult/100)+(disb_y3*advance_rate/100*tenor_ext/365*mix_ext/100)*(fee_ext_apr/100-$J10-pd_ext*Q$3*lgd_ext/100*ead_ext/100/100-opex_pct*opex_y3_mult/100)</f>
        <v>7.7345753424657442</v>
      </c>
      <c r="J10" s="13">
        <v>0.08</v>
      </c>
    </row>
    <row r="11" spans="1:17">
      <c r="A11" s="2" t="s">
        <v>193</v>
      </c>
      <c r="B11" s="30">
        <f>(disb_y3*advance_rate/100*tenor_pay30/365*mix_pay30/100)*(fee_pay30_mo*12/100-$J11-pd_pay30*K$3*lgd_pay30/100*ead_pay30/100/100-opex_pct*opex_y3_mult/100)+(disb_y3*advance_rate/100*tenor_bnpl/365*mix_bnpl/100)*(fee_bnpl_mo*12/100-$J11-pd_bnpl*K$3*lgd_bnpl/100*ead_bnpl/100/100-opex_pct*opex_y3_mult/100)+(disb_y3*advance_rate/100*tenor_ext/365*mix_ext/100)*(fee_ext_apr/100-$J11-pd_ext*K$3*lgd_ext/100*ead_ext/100/100-opex_pct*opex_y3_mult/100)</f>
        <v>38.368109589041083</v>
      </c>
      <c r="C11" s="30">
        <f>(disb_y3*advance_rate/100*tenor_pay30/365*mix_pay30/100)*(fee_pay30_mo*12/100-$J11-pd_pay30*L$3*lgd_pay30/100*ead_pay30/100/100-opex_pct*opex_y3_mult/100)+(disb_y3*advance_rate/100*tenor_bnpl/365*mix_bnpl/100)*(fee_bnpl_mo*12/100-$J11-pd_bnpl*L$3*lgd_bnpl/100*ead_bnpl/100/100-opex_pct*opex_y3_mult/100)+(disb_y3*advance_rate/100*tenor_ext/365*mix_ext/100)*(fee_ext_apr/100-$J11-pd_ext*L$3*lgd_ext/100*ead_ext/100/100-opex_pct*opex_y3_mult/100)</f>
        <v>34.030356164383555</v>
      </c>
      <c r="D11" s="30">
        <f>(disb_y3*advance_rate/100*tenor_pay30/365*mix_pay30/100)*(fee_pay30_mo*12/100-$J11-pd_pay30*M$3*lgd_pay30/100*ead_pay30/100/100-opex_pct*opex_y3_mult/100)+(disb_y3*advance_rate/100*tenor_bnpl/365*mix_bnpl/100)*(fee_bnpl_mo*12/100-$J11-pd_bnpl*M$3*lgd_bnpl/100*ead_bnpl/100/100-opex_pct*opex_y3_mult/100)+(disb_y3*advance_rate/100*tenor_ext/365*mix_ext/100)*(fee_ext_apr/100-$J11-pd_ext*M$3*lgd_ext/100*ead_ext/100/100-opex_pct*opex_y3_mult/100)</f>
        <v>29.69260273972602</v>
      </c>
      <c r="E11" s="30">
        <f>(disb_y3*advance_rate/100*tenor_pay30/365*mix_pay30/100)*(fee_pay30_mo*12/100-$J11-pd_pay30*N$3*lgd_pay30/100*ead_pay30/100/100-opex_pct*opex_y3_mult/100)+(disb_y3*advance_rate/100*tenor_bnpl/365*mix_bnpl/100)*(fee_bnpl_mo*12/100-$J11-pd_bnpl*N$3*lgd_bnpl/100*ead_bnpl/100/100-opex_pct*opex_y3_mult/100)+(disb_y3*advance_rate/100*tenor_ext/365*mix_ext/100)*(fee_ext_apr/100-$J11-pd_ext*N$3*lgd_ext/100*ead_ext/100/100-opex_pct*opex_y3_mult/100)</f>
        <v>25.354849315068485</v>
      </c>
      <c r="F11" s="30">
        <f>(disb_y3*advance_rate/100*tenor_pay30/365*mix_pay30/100)*(fee_pay30_mo*12/100-$J11-pd_pay30*O$3*lgd_pay30/100*ead_pay30/100/100-opex_pct*opex_y3_mult/100)+(disb_y3*advance_rate/100*tenor_bnpl/365*mix_bnpl/100)*(fee_bnpl_mo*12/100-$J11-pd_bnpl*O$3*lgd_bnpl/100*ead_bnpl/100/100-opex_pct*opex_y3_mult/100)+(disb_y3*advance_rate/100*tenor_ext/365*mix_ext/100)*(fee_ext_apr/100-$J11-pd_ext*O$3*lgd_ext/100*ead_ext/100/100-opex_pct*opex_y3_mult/100)</f>
        <v>18.848219178082179</v>
      </c>
      <c r="G11" s="30">
        <f>(disb_y3*advance_rate/100*tenor_pay30/365*mix_pay30/100)*(fee_pay30_mo*12/100-$J11-pd_pay30*P$3*lgd_pay30/100*ead_pay30/100/100-opex_pct*opex_y3_mult/100)+(disb_y3*advance_rate/100*tenor_bnpl/365*mix_bnpl/100)*(fee_bnpl_mo*12/100-$J11-pd_bnpl*P$3*lgd_bnpl/100*ead_bnpl/100/100-opex_pct*opex_y3_mult/100)+(disb_y3*advance_rate/100*tenor_ext/365*mix_ext/100)*(fee_ext_apr/100-$J11-pd_ext*P$3*lgd_ext/100*ead_ext/100/100-opex_pct*opex_y3_mult/100)</f>
        <v>12.341589041095885</v>
      </c>
      <c r="H11" s="30">
        <f>(disb_y3*advance_rate/100*tenor_pay30/365*mix_pay30/100)*(fee_pay30_mo*12/100-$J11-pd_pay30*Q$3*lgd_pay30/100*ead_pay30/100/100-opex_pct*opex_y3_mult/100)+(disb_y3*advance_rate/100*tenor_bnpl/365*mix_bnpl/100)*(fee_bnpl_mo*12/100-$J11-pd_bnpl*Q$3*lgd_bnpl/100*ead_bnpl/100/100-opex_pct*opex_y3_mult/100)+(disb_y3*advance_rate/100*tenor_ext/365*mix_ext/100)*(fee_ext_apr/100-$J11-pd_ext*Q$3*lgd_ext/100*ead_ext/100/100-opex_pct*opex_y3_mult/100)</f>
        <v>3.6660821917808057</v>
      </c>
      <c r="J11" s="13">
        <v>8.5000000000000006E-2</v>
      </c>
    </row>
    <row r="14" spans="1:17">
      <c r="A14" s="2" t="s">
        <v>194</v>
      </c>
    </row>
    <row r="15" spans="1:17">
      <c r="A15" s="138" t="s">
        <v>533</v>
      </c>
    </row>
    <row r="16" spans="1:17">
      <c r="A16" s="138" t="s">
        <v>195</v>
      </c>
    </row>
    <row r="17" spans="1:1">
      <c r="A17" s="138" t="s">
        <v>534</v>
      </c>
    </row>
  </sheetData>
  <conditionalFormatting sqref="J5:J11 B5:H11">
    <cfRule type="colorScale" priority="1">
      <colorScale>
        <cfvo type="min"/>
        <cfvo type="num" val="0"/>
        <cfvo type="max"/>
        <color rgb="FFD44A4A"/>
        <color rgb="FFFAF7EE"/>
        <color rgb="FFA8C09A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F6D7-0F32-E947-BFB0-1F6BF2EA2052}">
  <sheetPr>
    <tabColor rgb="FF7AAE7A"/>
  </sheetPr>
  <dimension ref="A1:G22"/>
  <sheetViews>
    <sheetView workbookViewId="0">
      <pane ySplit="4" topLeftCell="A5" activePane="bottomLeft" state="frozen"/>
      <selection pane="bottomLeft" activeCell="B21" sqref="B21"/>
    </sheetView>
  </sheetViews>
  <sheetFormatPr baseColWidth="10" defaultRowHeight="15"/>
  <cols>
    <col min="1" max="1" width="38.33203125" customWidth="1"/>
    <col min="2" max="6" width="12.5" customWidth="1"/>
    <col min="7" max="7" width="58.33203125" customWidth="1"/>
  </cols>
  <sheetData>
    <row r="1" spans="1:7" ht="16">
      <c r="A1" s="42" t="s">
        <v>306</v>
      </c>
    </row>
    <row r="2" spans="1:7">
      <c r="A2" s="43" t="s">
        <v>583</v>
      </c>
    </row>
    <row r="4" spans="1:7">
      <c r="A4" s="45" t="s">
        <v>159</v>
      </c>
      <c r="B4" s="45" t="s">
        <v>106</v>
      </c>
      <c r="C4" s="45" t="s">
        <v>107</v>
      </c>
      <c r="D4" s="45" t="s">
        <v>108</v>
      </c>
      <c r="E4" s="45" t="s">
        <v>242</v>
      </c>
      <c r="F4" s="45" t="s">
        <v>243</v>
      </c>
      <c r="G4" s="45" t="s">
        <v>265</v>
      </c>
    </row>
    <row r="6" spans="1:7">
      <c r="A6" s="44" t="s">
        <v>126</v>
      </c>
      <c r="B6" s="19">
        <f>'Combined P&amp;L'!B5</f>
        <v>50.856164383561648</v>
      </c>
      <c r="C6" s="19">
        <f>'Combined P&amp;L'!C5</f>
        <v>305.13698630136986</v>
      </c>
      <c r="D6" s="19">
        <f>'Combined P&amp;L'!D5</f>
        <v>813.69863013698637</v>
      </c>
      <c r="E6" s="19">
        <f>'Combined P&amp;L'!E5</f>
        <v>1627.3972602739727</v>
      </c>
      <c r="F6" s="19">
        <f>'Combined P&amp;L'!F5</f>
        <v>2644.5205479452056</v>
      </c>
      <c r="G6" s="46" t="s">
        <v>307</v>
      </c>
    </row>
    <row r="7" spans="1:7">
      <c r="A7" t="s">
        <v>308</v>
      </c>
      <c r="B7" s="19">
        <f>B6*1</f>
        <v>50.856164383561648</v>
      </c>
      <c r="C7" s="19">
        <f>C6*1</f>
        <v>305.13698630136986</v>
      </c>
      <c r="D7" s="19">
        <f>D6*1</f>
        <v>813.69863013698637</v>
      </c>
      <c r="E7" s="19">
        <f>E6*1</f>
        <v>1627.3972602739727</v>
      </c>
      <c r="F7" s="19">
        <f>F6*1</f>
        <v>2644.5205479452056</v>
      </c>
      <c r="G7" t="s">
        <v>309</v>
      </c>
    </row>
    <row r="9" spans="1:7">
      <c r="A9" s="44" t="s">
        <v>310</v>
      </c>
      <c r="B9" s="19">
        <f>B6*equity_pct/100</f>
        <v>7.1198630136986312</v>
      </c>
      <c r="C9" s="19">
        <f>C6*equity_pct/100</f>
        <v>42.719178082191782</v>
      </c>
      <c r="D9" s="19">
        <f>D6*equity_pct/100</f>
        <v>113.9178082191781</v>
      </c>
      <c r="E9" s="19">
        <f>E6*equity_pct/100</f>
        <v>227.8356164383562</v>
      </c>
      <c r="F9" s="19">
        <f>F6*equity_pct/100</f>
        <v>370.23287671232879</v>
      </c>
      <c r="G9" s="46" t="s">
        <v>584</v>
      </c>
    </row>
    <row r="11" spans="1:7">
      <c r="A11" s="44" t="s">
        <v>311</v>
      </c>
      <c r="B11" s="63">
        <v>110</v>
      </c>
      <c r="C11" s="63">
        <v>250</v>
      </c>
      <c r="D11" s="63">
        <v>0</v>
      </c>
      <c r="E11" s="63">
        <v>500</v>
      </c>
      <c r="F11" s="63">
        <v>0</v>
      </c>
      <c r="G11" t="s">
        <v>312</v>
      </c>
    </row>
    <row r="12" spans="1:7">
      <c r="A12" t="s">
        <v>313</v>
      </c>
      <c r="B12" s="19">
        <f>B11</f>
        <v>110</v>
      </c>
      <c r="C12" s="19">
        <f>B12+C11</f>
        <v>360</v>
      </c>
      <c r="D12" s="19">
        <f>C12+D11</f>
        <v>360</v>
      </c>
      <c r="E12" s="19">
        <f>D12+E11</f>
        <v>860</v>
      </c>
      <c r="F12" s="19">
        <f>E12+F11</f>
        <v>860</v>
      </c>
      <c r="G12" t="s">
        <v>314</v>
      </c>
    </row>
    <row r="14" spans="1:7">
      <c r="A14" t="s">
        <v>315</v>
      </c>
      <c r="B14" s="19">
        <f>'Combined P&amp;L'!B12</f>
        <v>2.0551438356164384</v>
      </c>
      <c r="C14" s="19">
        <f>'Combined P&amp;L'!C12</f>
        <v>15.406643835616435</v>
      </c>
      <c r="D14" s="19">
        <f>'Combined P&amp;L'!D12</f>
        <v>45.966575342465759</v>
      </c>
      <c r="E14" s="19">
        <f>'Combined P&amp;L'!E12</f>
        <v>93.886027397260278</v>
      </c>
      <c r="F14" s="19">
        <f>'Combined P&amp;L'!F12</f>
        <v>154.46884931506847</v>
      </c>
      <c r="G14" t="s">
        <v>316</v>
      </c>
    </row>
    <row r="15" spans="1:7">
      <c r="A15" t="s">
        <v>317</v>
      </c>
      <c r="B15" s="19">
        <f>B14*0.6</f>
        <v>1.233086301369863</v>
      </c>
      <c r="C15" s="19">
        <f>B15+C14*0.6</f>
        <v>10.477072602739723</v>
      </c>
      <c r="D15" s="19">
        <f>C15+D14*0.6</f>
        <v>38.057017808219179</v>
      </c>
      <c r="E15" s="19">
        <f>D15+E14*0.6</f>
        <v>94.38863424657535</v>
      </c>
      <c r="F15" s="19">
        <f>E15+F14*0.6</f>
        <v>187.06994383561641</v>
      </c>
      <c r="G15" t="s">
        <v>318</v>
      </c>
    </row>
    <row r="17" spans="1:7">
      <c r="A17" s="53" t="s">
        <v>319</v>
      </c>
      <c r="B17" s="51">
        <f>B12+B15</f>
        <v>111.23308630136987</v>
      </c>
      <c r="C17" s="51">
        <f>C12+C15</f>
        <v>370.47707260273972</v>
      </c>
      <c r="D17" s="51">
        <f>D12+D15</f>
        <v>398.0570178082192</v>
      </c>
      <c r="E17" s="51">
        <f>E12+E15</f>
        <v>954.38863424657529</v>
      </c>
      <c r="F17" s="51">
        <f>F12+F15</f>
        <v>1047.0699438356164</v>
      </c>
      <c r="G17" t="s">
        <v>320</v>
      </c>
    </row>
    <row r="19" spans="1:7">
      <c r="A19" s="44" t="s">
        <v>321</v>
      </c>
      <c r="B19" s="19">
        <f>B17-B9</f>
        <v>104.11322328767123</v>
      </c>
      <c r="C19" s="19">
        <f>C17-C9</f>
        <v>327.75789452054795</v>
      </c>
      <c r="D19" s="19">
        <f>D17-D9</f>
        <v>284.13920958904112</v>
      </c>
      <c r="E19" s="19">
        <f>E17-E9</f>
        <v>726.55301780821912</v>
      </c>
      <c r="F19" s="19">
        <f>F17-F9</f>
        <v>676.83706712328762</v>
      </c>
      <c r="G19" t="s">
        <v>322</v>
      </c>
    </row>
    <row r="21" spans="1:7">
      <c r="A21" s="44" t="s">
        <v>323</v>
      </c>
      <c r="B21" s="48">
        <f>B17/B7</f>
        <v>2.1872095084175083</v>
      </c>
      <c r="C21" s="48">
        <f>C17/C7</f>
        <v>1.2141336161616161</v>
      </c>
      <c r="D21" s="48">
        <f>D17/D7</f>
        <v>0.48919465151515151</v>
      </c>
      <c r="E21" s="48">
        <f>E17/E7</f>
        <v>0.58645092845117841</v>
      </c>
      <c r="F21" s="48">
        <f>F17/F7</f>
        <v>0.39593942450142444</v>
      </c>
      <c r="G21" t="s">
        <v>324</v>
      </c>
    </row>
    <row r="22" spans="1:7">
      <c r="A22" t="s">
        <v>325</v>
      </c>
      <c r="B22" t="str">
        <f>IF(B21&gt;=0.13,"✓ PASS","✗ BREACH")</f>
        <v>✓ PASS</v>
      </c>
      <c r="C22" t="str">
        <f>IF(C21&gt;=0.13,"✓ PASS","✗ BREACH")</f>
        <v>✓ PASS</v>
      </c>
      <c r="D22" t="str">
        <f>IF(D21&gt;=0.13,"✓ PASS","✗ BREACH")</f>
        <v>✓ PASS</v>
      </c>
      <c r="E22" t="str">
        <f>IF(E21&gt;=0.13,"✓ PASS","✗ BREACH")</f>
        <v>✓ PASS</v>
      </c>
      <c r="F22" t="str">
        <f>IF(F21&gt;=0.13,"✓ PASS","✗ BREACH")</f>
        <v>✓ PASS</v>
      </c>
      <c r="G22" t="s">
        <v>326</v>
      </c>
    </row>
  </sheetData>
  <conditionalFormatting sqref="B19:F19">
    <cfRule type="cellIs" dxfId="25" priority="1" operator="lessThan">
      <formula>0</formula>
    </cfRule>
  </conditionalFormatting>
  <conditionalFormatting sqref="B21:F21">
    <cfRule type="cellIs" dxfId="24" priority="2" operator="lessThan">
      <formula>0.13</formula>
    </cfRule>
  </conditionalFormatting>
  <conditionalFormatting sqref="B22:F22">
    <cfRule type="containsText" dxfId="23" priority="3" operator="containsText" text="PASS">
      <formula>NOT(ISERROR(SEARCH("PASS",B22)))</formula>
    </cfRule>
  </conditionalFormatting>
  <conditionalFormatting sqref="B22:F22">
    <cfRule type="containsText" dxfId="22" priority="4" operator="containsText" text="BREACH">
      <formula>NOT(ISERROR(SEARCH("BREACH",B22)))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CAE3-4892-1E4F-8F68-539608FBDA27}">
  <sheetPr>
    <tabColor rgb="FF7AAE7A"/>
  </sheetPr>
  <dimension ref="A1:F24"/>
  <sheetViews>
    <sheetView workbookViewId="0">
      <pane ySplit="4" topLeftCell="A5" activePane="bottomLeft" state="frozen"/>
      <selection pane="bottomLeft" activeCell="E7" sqref="E7"/>
    </sheetView>
  </sheetViews>
  <sheetFormatPr baseColWidth="10" defaultRowHeight="15"/>
  <cols>
    <col min="1" max="1" width="40" customWidth="1"/>
    <col min="2" max="6" width="15" customWidth="1"/>
  </cols>
  <sheetData>
    <row r="1" spans="1:6" ht="16">
      <c r="A1" s="42" t="s">
        <v>327</v>
      </c>
    </row>
    <row r="2" spans="1:6">
      <c r="A2" s="43" t="s">
        <v>328</v>
      </c>
    </row>
    <row r="4" spans="1:6">
      <c r="A4" s="45" t="s">
        <v>329</v>
      </c>
      <c r="B4" s="45" t="s">
        <v>330</v>
      </c>
      <c r="C4" s="45" t="s">
        <v>331</v>
      </c>
      <c r="D4" s="45" t="s">
        <v>332</v>
      </c>
      <c r="E4" s="45" t="s">
        <v>333</v>
      </c>
      <c r="F4" s="45" t="s">
        <v>265</v>
      </c>
    </row>
    <row r="5" spans="1:6">
      <c r="A5" t="s">
        <v>334</v>
      </c>
      <c r="B5" s="64">
        <v>0.76</v>
      </c>
      <c r="C5" s="67">
        <v>150</v>
      </c>
      <c r="D5" s="65">
        <v>5.1999999999999998E-2</v>
      </c>
      <c r="E5" s="66">
        <f>D5+C5/10000</f>
        <v>6.7000000000000004E-2</v>
      </c>
      <c r="F5" t="s">
        <v>585</v>
      </c>
    </row>
    <row r="6" spans="1:6">
      <c r="A6" t="s">
        <v>335</v>
      </c>
      <c r="B6" s="64">
        <v>0.1</v>
      </c>
      <c r="C6" s="67">
        <v>400</v>
      </c>
      <c r="D6" s="65">
        <v>5.1999999999999998E-2</v>
      </c>
      <c r="E6" s="66">
        <f>D6+C6/10000</f>
        <v>9.1999999999999998E-2</v>
      </c>
      <c r="F6" t="s">
        <v>336</v>
      </c>
    </row>
    <row r="7" spans="1:6">
      <c r="A7" t="s">
        <v>337</v>
      </c>
      <c r="B7" s="48">
        <f>equity_pct/100</f>
        <v>0.14000000000000001</v>
      </c>
      <c r="E7" s="132">
        <v>0</v>
      </c>
      <c r="F7" t="s">
        <v>338</v>
      </c>
    </row>
    <row r="8" spans="1:6">
      <c r="A8" s="44" t="s">
        <v>339</v>
      </c>
      <c r="B8" s="50">
        <f>B5+B6+B7</f>
        <v>1</v>
      </c>
      <c r="F8" t="s">
        <v>340</v>
      </c>
    </row>
    <row r="10" spans="1:6">
      <c r="A10" s="53" t="s">
        <v>341</v>
      </c>
      <c r="B10" s="68">
        <f>(B5*E5+B6*E6)/(B5+B6)*100</f>
        <v>6.9906976744186053</v>
      </c>
      <c r="F10" t="s">
        <v>342</v>
      </c>
    </row>
    <row r="11" spans="1:6">
      <c r="A11" t="s">
        <v>343</v>
      </c>
      <c r="B11" s="23">
        <f>cof_apr</f>
        <v>6.5</v>
      </c>
      <c r="F11" t="s">
        <v>344</v>
      </c>
    </row>
    <row r="12" spans="1:6">
      <c r="A12" t="s">
        <v>345</v>
      </c>
      <c r="B12" s="69">
        <f>(B10-B11)*100</f>
        <v>49.069767441860535</v>
      </c>
      <c r="F12" t="s">
        <v>346</v>
      </c>
    </row>
    <row r="13" spans="1:6">
      <c r="A13" t="s">
        <v>347</v>
      </c>
      <c r="B13" t="str">
        <f>IF(B10&lt;B11,"✓ Inputs conservative",IF(B10&lt;=B11+50,"⚠ Within 50 bps","✗ Inputs cof_apr UNDERSTATES cost"))</f>
        <v>⚠ Within 50 bps</v>
      </c>
      <c r="F13" t="s">
        <v>348</v>
      </c>
    </row>
    <row r="15" spans="1:6">
      <c r="A15" s="45" t="s">
        <v>349</v>
      </c>
      <c r="B15" s="45" t="s">
        <v>106</v>
      </c>
      <c r="C15" s="45" t="s">
        <v>107</v>
      </c>
      <c r="D15" s="45" t="s">
        <v>108</v>
      </c>
      <c r="E15" s="45" t="s">
        <v>242</v>
      </c>
      <c r="F15" s="45" t="s">
        <v>243</v>
      </c>
    </row>
    <row r="16" spans="1:6">
      <c r="A16" t="s">
        <v>120</v>
      </c>
      <c r="B16" s="19">
        <f>'Combined P&amp;L'!B5</f>
        <v>50.856164383561648</v>
      </c>
      <c r="C16" s="19">
        <f>'Combined P&amp;L'!C5</f>
        <v>305.13698630136986</v>
      </c>
      <c r="D16" s="19">
        <f>'Combined P&amp;L'!D5</f>
        <v>813.69863013698637</v>
      </c>
      <c r="E16" s="19">
        <f>'Combined P&amp;L'!E5</f>
        <v>1627.3972602739727</v>
      </c>
      <c r="F16" s="19">
        <f>'Combined P&amp;L'!F5</f>
        <v>2644.5205479452056</v>
      </c>
    </row>
    <row r="17" spans="1:6">
      <c r="A17" t="s">
        <v>350</v>
      </c>
      <c r="B17" s="19">
        <f>B16*$B$5</f>
        <v>38.650684931506852</v>
      </c>
      <c r="C17" s="19">
        <f>C16*$B$5</f>
        <v>231.9041095890411</v>
      </c>
      <c r="D17" s="19">
        <f>D16*$B$5</f>
        <v>618.41095890410963</v>
      </c>
      <c r="E17" s="19">
        <f>E16*$B$5</f>
        <v>1236.8219178082193</v>
      </c>
      <c r="F17" s="19">
        <f>F16*$B$5</f>
        <v>2009.8356164383563</v>
      </c>
    </row>
    <row r="18" spans="1:6">
      <c r="A18" t="s">
        <v>351</v>
      </c>
      <c r="B18" s="19">
        <f>B16*$B$6</f>
        <v>5.0856164383561655</v>
      </c>
      <c r="C18" s="19">
        <f>C16*$B$6</f>
        <v>30.513698630136986</v>
      </c>
      <c r="D18" s="19">
        <f>D16*$B$6</f>
        <v>81.369863013698648</v>
      </c>
      <c r="E18" s="19">
        <f>E16*$B$6</f>
        <v>162.7397260273973</v>
      </c>
      <c r="F18" s="19">
        <f>F16*$B$6</f>
        <v>264.45205479452056</v>
      </c>
    </row>
    <row r="19" spans="1:6">
      <c r="A19" t="s">
        <v>352</v>
      </c>
      <c r="B19" s="19">
        <f>B16*$B$7</f>
        <v>7.1198630136986312</v>
      </c>
      <c r="C19" s="19">
        <f>C16*$B$7</f>
        <v>42.719178082191782</v>
      </c>
      <c r="D19" s="19">
        <f>D16*$B$7</f>
        <v>113.9178082191781</v>
      </c>
      <c r="E19" s="19">
        <f>E16*$B$7</f>
        <v>227.8356164383562</v>
      </c>
      <c r="F19" s="19">
        <f>F16*$B$7</f>
        <v>370.23287671232885</v>
      </c>
    </row>
    <row r="21" spans="1:6">
      <c r="A21" s="45" t="s">
        <v>353</v>
      </c>
    </row>
    <row r="22" spans="1:6">
      <c r="A22" t="s">
        <v>354</v>
      </c>
      <c r="B22" t="str">
        <f>IF(B17/B16&lt;=0.85,"✓ PASS","✗ BREACH")</f>
        <v>✓ PASS</v>
      </c>
      <c r="C22" t="str">
        <f>IF(C17/C16&lt;=0.85,"✓ PASS","✗ BREACH")</f>
        <v>✓ PASS</v>
      </c>
      <c r="D22" t="str">
        <f>IF(D17/D16&lt;=0.85,"✓ PASS","✗ BREACH")</f>
        <v>✓ PASS</v>
      </c>
      <c r="E22" t="str">
        <f>IF(E17/E16&lt;=0.85,"✓ PASS","✗ BREACH")</f>
        <v>✓ PASS</v>
      </c>
      <c r="F22" t="str">
        <f>IF(F17/F16&lt;=0.85,"✓ PASS","✗ BREACH")</f>
        <v>✓ PASS</v>
      </c>
    </row>
    <row r="23" spans="1:6">
      <c r="A23" t="s">
        <v>355</v>
      </c>
      <c r="B23" t="str">
        <f>IF(avg_ticket_k/1000/B16&lt;=0.1,"✓ PASS","✗ BREACH")</f>
        <v>✓ PASS</v>
      </c>
      <c r="C23" t="str">
        <f>IF(avg_ticket_k/1000/C16&lt;=0.1,"✓ PASS","✗ BREACH")</f>
        <v>✓ PASS</v>
      </c>
      <c r="D23" t="str">
        <f>IF(avg_ticket_k/1000/D16&lt;=0.1,"✓ PASS","✗ BREACH")</f>
        <v>✓ PASS</v>
      </c>
      <c r="E23" t="str">
        <f>IF(avg_ticket_k/1000/E16&lt;=0.1,"✓ PASS","✗ BREACH")</f>
        <v>✓ PASS</v>
      </c>
      <c r="F23" t="str">
        <f>IF(avg_ticket_k/1000/F16&lt;=0.1,"✓ PASS","✗ BREACH")</f>
        <v>✓ PASS</v>
      </c>
    </row>
    <row r="24" spans="1:6">
      <c r="A24" t="s">
        <v>356</v>
      </c>
      <c r="B24" t="str">
        <f>IF('Capital Plan'!B21&gt;=0.13,"✓ PASS","✗ BREACH")</f>
        <v>✓ PASS</v>
      </c>
      <c r="C24" t="str">
        <f>IF('Capital Plan'!C21&gt;=0.13,"✓ PASS","✗ BREACH")</f>
        <v>✓ PASS</v>
      </c>
      <c r="D24" t="str">
        <f>IF('Capital Plan'!D21&gt;=0.13,"✓ PASS","✗ BREACH")</f>
        <v>✓ PASS</v>
      </c>
      <c r="E24" t="str">
        <f>IF('Capital Plan'!E21&gt;=0.13,"✓ PASS","✗ BREACH")</f>
        <v>✓ PASS</v>
      </c>
      <c r="F24" t="str">
        <f>IF('Capital Plan'!F21&gt;=0.13,"✓ PASS","✗ BREACH")</f>
        <v>✓ PASS</v>
      </c>
    </row>
  </sheetData>
  <conditionalFormatting sqref="B22:F22">
    <cfRule type="containsText" dxfId="21" priority="1" operator="containsText" text="PASS">
      <formula>NOT(ISERROR(SEARCH("PASS",B22)))</formula>
    </cfRule>
  </conditionalFormatting>
  <conditionalFormatting sqref="B22:F22">
    <cfRule type="containsText" dxfId="20" priority="2" operator="containsText" text="BREACH">
      <formula>NOT(ISERROR(SEARCH("BREACH",B22)))</formula>
    </cfRule>
  </conditionalFormatting>
  <conditionalFormatting sqref="B23:F23">
    <cfRule type="containsText" dxfId="19" priority="3" operator="containsText" text="PASS">
      <formula>NOT(ISERROR(SEARCH("PASS",B23)))</formula>
    </cfRule>
  </conditionalFormatting>
  <conditionalFormatting sqref="B23:F23">
    <cfRule type="containsText" dxfId="18" priority="4" operator="containsText" text="BREACH">
      <formula>NOT(ISERROR(SEARCH("BREACH",B23)))</formula>
    </cfRule>
  </conditionalFormatting>
  <conditionalFormatting sqref="B24:F24">
    <cfRule type="containsText" dxfId="17" priority="5" operator="containsText" text="PASS">
      <formula>NOT(ISERROR(SEARCH("PASS",B24)))</formula>
    </cfRule>
  </conditionalFormatting>
  <conditionalFormatting sqref="B24:F24">
    <cfRule type="containsText" dxfId="16" priority="6" operator="containsText" text="BREACH">
      <formula>NOT(ISERROR(SEARCH("BREACH",B24)))</formula>
    </cfRule>
  </conditionalFormatting>
  <conditionalFormatting sqref="B13">
    <cfRule type="containsText" dxfId="15" priority="7" operator="containsText" text="conservative">
      <formula>NOT(ISERROR(SEARCH("conservative",B13)))</formula>
    </cfRule>
  </conditionalFormatting>
  <conditionalFormatting sqref="B13">
    <cfRule type="containsText" dxfId="14" priority="8" operator="containsText" text="Within">
      <formula>NOT(ISERROR(SEARCH("Within",B13)))</formula>
    </cfRule>
  </conditionalFormatting>
  <conditionalFormatting sqref="B13">
    <cfRule type="containsText" dxfId="13" priority="9" operator="containsText" text="UNDERSTATES">
      <formula>NOT(ISERROR(SEARCH("UNDERSTATES",B13)))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7A6C-985E-DF4D-8823-4EFFF2F750DC}">
  <sheetPr>
    <tabColor rgb="FFE8A87C"/>
  </sheetPr>
  <dimension ref="A1:G33"/>
  <sheetViews>
    <sheetView workbookViewId="0">
      <pane ySplit="4" topLeftCell="A5" activePane="bottomLeft" state="frozen"/>
      <selection pane="bottomLeft" activeCell="D1" sqref="D1"/>
    </sheetView>
  </sheetViews>
  <sheetFormatPr baseColWidth="10" defaultRowHeight="15"/>
  <cols>
    <col min="1" max="1" width="40" customWidth="1"/>
    <col min="2" max="6" width="15" customWidth="1"/>
    <col min="7" max="7" width="63.33203125" customWidth="1"/>
  </cols>
  <sheetData>
    <row r="1" spans="1:7">
      <c r="A1" s="45" t="s">
        <v>357</v>
      </c>
      <c r="B1" s="70" t="s">
        <v>358</v>
      </c>
      <c r="C1" s="133">
        <f>MATCH(B1,C4:F4,0)</f>
        <v>1</v>
      </c>
      <c r="D1" s="134" t="s">
        <v>359</v>
      </c>
    </row>
    <row r="2" spans="1:7">
      <c r="A2" s="43" t="s">
        <v>360</v>
      </c>
    </row>
    <row r="4" spans="1:7">
      <c r="A4" s="80" t="s">
        <v>361</v>
      </c>
      <c r="B4" s="81" t="s">
        <v>362</v>
      </c>
      <c r="C4" s="80" t="s">
        <v>358</v>
      </c>
      <c r="D4" s="81" t="s">
        <v>363</v>
      </c>
      <c r="E4" s="82" t="s">
        <v>364</v>
      </c>
      <c r="F4" s="83" t="s">
        <v>365</v>
      </c>
      <c r="G4" s="80" t="s">
        <v>366</v>
      </c>
    </row>
    <row r="5" spans="1:7">
      <c r="A5" s="84" t="s">
        <v>367</v>
      </c>
      <c r="B5" s="85">
        <f>CHOOSE($C$1,C5,D5,E5,F5)</f>
        <v>4000</v>
      </c>
      <c r="C5" s="85">
        <v>4000</v>
      </c>
      <c r="D5" s="85">
        <f>C5*1.2</f>
        <v>4800</v>
      </c>
      <c r="E5" s="85">
        <f>C5*0.8</f>
        <v>3200</v>
      </c>
      <c r="F5" s="85">
        <f>C5*0.6</f>
        <v>2400</v>
      </c>
      <c r="G5" s="84" t="s">
        <v>368</v>
      </c>
    </row>
    <row r="6" spans="1:7">
      <c r="A6" s="84" t="s">
        <v>369</v>
      </c>
      <c r="B6" s="86">
        <f>CHOOSE($C$1,C6,D6,E6,F6)</f>
        <v>1.3</v>
      </c>
      <c r="C6" s="86">
        <v>1.3</v>
      </c>
      <c r="D6" s="86">
        <f>C6+0.2</f>
        <v>1.5</v>
      </c>
      <c r="E6" s="86">
        <f>C6-0.2</f>
        <v>1.1000000000000001</v>
      </c>
      <c r="F6" s="86">
        <f>C6</f>
        <v>1.3</v>
      </c>
      <c r="G6" s="84" t="s">
        <v>370</v>
      </c>
    </row>
    <row r="7" spans="1:7">
      <c r="A7" s="84" t="s">
        <v>371</v>
      </c>
      <c r="B7" s="86">
        <f>CHOOSE($C$1,C7,D7,E7,F7)</f>
        <v>1.5</v>
      </c>
      <c r="C7" s="86">
        <v>1.5</v>
      </c>
      <c r="D7" s="86">
        <f>C7+0.2</f>
        <v>1.7</v>
      </c>
      <c r="E7" s="86">
        <f>C7-0.2</f>
        <v>1.3</v>
      </c>
      <c r="F7" s="86">
        <f>C7</f>
        <v>1.5</v>
      </c>
      <c r="G7" s="84" t="s">
        <v>372</v>
      </c>
    </row>
    <row r="8" spans="1:7">
      <c r="A8" s="84" t="s">
        <v>373</v>
      </c>
      <c r="B8" s="86">
        <f>CHOOSE($C$1,C8,D8,E8,F8)</f>
        <v>16</v>
      </c>
      <c r="C8" s="86">
        <v>16</v>
      </c>
      <c r="D8" s="86">
        <f>C8+2</f>
        <v>18</v>
      </c>
      <c r="E8" s="86">
        <f>C8-2</f>
        <v>14</v>
      </c>
      <c r="F8" s="86">
        <f>C8</f>
        <v>16</v>
      </c>
      <c r="G8" s="84" t="s">
        <v>374</v>
      </c>
    </row>
    <row r="9" spans="1:7">
      <c r="A9" s="84" t="s">
        <v>375</v>
      </c>
      <c r="B9" s="86">
        <f>CHOOSE($C$1,C9,D9,E9,F9)</f>
        <v>6.5</v>
      </c>
      <c r="C9" s="86">
        <v>6.5</v>
      </c>
      <c r="D9" s="86">
        <f>C9-0.5</f>
        <v>6</v>
      </c>
      <c r="E9" s="86">
        <f>C9+1</f>
        <v>7.5</v>
      </c>
      <c r="F9" s="86">
        <f>C9+2</f>
        <v>8.5</v>
      </c>
      <c r="G9" s="84" t="s">
        <v>376</v>
      </c>
    </row>
    <row r="10" spans="1:7">
      <c r="A10" s="84" t="s">
        <v>379</v>
      </c>
      <c r="B10" s="86">
        <f>CHOOSE($C$1,C10,D10,E10,F10)</f>
        <v>2</v>
      </c>
      <c r="C10" s="86">
        <v>2</v>
      </c>
      <c r="D10" s="86">
        <f>C10*0.8</f>
        <v>1.6</v>
      </c>
      <c r="E10" s="86">
        <f>C10*1.3</f>
        <v>2.6</v>
      </c>
      <c r="F10" s="86">
        <f>C10*1.8</f>
        <v>3.6</v>
      </c>
      <c r="G10" s="84" t="s">
        <v>380</v>
      </c>
    </row>
    <row r="11" spans="1:7">
      <c r="A11" s="84" t="s">
        <v>381</v>
      </c>
      <c r="B11" s="86">
        <f>CHOOSE($C$1,C11,D11,E11,F11)</f>
        <v>4</v>
      </c>
      <c r="C11" s="86">
        <v>4</v>
      </c>
      <c r="D11" s="86">
        <f>C11*0.8</f>
        <v>3.2</v>
      </c>
      <c r="E11" s="86">
        <f>C11*1.3</f>
        <v>5.2</v>
      </c>
      <c r="F11" s="86">
        <f>C11*1.8</f>
        <v>7.2</v>
      </c>
      <c r="G11" s="84" t="s">
        <v>382</v>
      </c>
    </row>
    <row r="12" spans="1:7">
      <c r="A12" s="84" t="s">
        <v>383</v>
      </c>
      <c r="B12" s="86">
        <f>CHOOSE($C$1,C12,D12,E12,F12)</f>
        <v>10</v>
      </c>
      <c r="C12" s="86">
        <v>10</v>
      </c>
      <c r="D12" s="86">
        <f>C12*0.8</f>
        <v>8</v>
      </c>
      <c r="E12" s="86">
        <f>C12*1.3</f>
        <v>13</v>
      </c>
      <c r="F12" s="86">
        <f>C12*1.8</f>
        <v>18</v>
      </c>
      <c r="G12" s="84" t="s">
        <v>384</v>
      </c>
    </row>
    <row r="13" spans="1:7">
      <c r="A13" s="84" t="s">
        <v>377</v>
      </c>
      <c r="B13" s="86">
        <f>CHOOSE($C$1,C13,D13,E13,F13)</f>
        <v>2.4</v>
      </c>
      <c r="C13" s="86">
        <v>2.4</v>
      </c>
      <c r="D13" s="86">
        <f>C13</f>
        <v>2.4</v>
      </c>
      <c r="E13" s="86">
        <f>C13</f>
        <v>2.4</v>
      </c>
      <c r="F13" s="86">
        <f>C13+0.5</f>
        <v>2.9</v>
      </c>
      <c r="G13" s="84" t="s">
        <v>378</v>
      </c>
    </row>
    <row r="16" spans="1:7">
      <c r="A16" s="45" t="s">
        <v>385</v>
      </c>
    </row>
    <row r="17" spans="1:6">
      <c r="A17" s="43" t="s">
        <v>386</v>
      </c>
    </row>
    <row r="18" spans="1:6">
      <c r="A18" s="80" t="s">
        <v>387</v>
      </c>
      <c r="B18" s="81" t="s">
        <v>388</v>
      </c>
      <c r="C18" s="80" t="s">
        <v>358</v>
      </c>
      <c r="D18" s="81" t="s">
        <v>363</v>
      </c>
      <c r="E18" s="82" t="s">
        <v>364</v>
      </c>
      <c r="F18" s="83" t="s">
        <v>365</v>
      </c>
    </row>
    <row r="19" spans="1:6">
      <c r="A19" s="84" t="s">
        <v>389</v>
      </c>
      <c r="B19" s="85">
        <f>CHOOSE($C$1,C19,D19,E19,F19)</f>
        <v>4000</v>
      </c>
      <c r="C19" s="85">
        <f>C5</f>
        <v>4000</v>
      </c>
      <c r="D19" s="85">
        <f>D5</f>
        <v>4800</v>
      </c>
      <c r="E19" s="85">
        <f>E5</f>
        <v>3200</v>
      </c>
      <c r="F19" s="85">
        <f>F5</f>
        <v>2400</v>
      </c>
    </row>
    <row r="20" spans="1:6">
      <c r="A20" s="84" t="s">
        <v>390</v>
      </c>
      <c r="B20" s="85">
        <f>CHOOSE($C$1,C20,D20,E20,F20)</f>
        <v>118.35616438356165</v>
      </c>
      <c r="C20" s="85">
        <f>C19*advance_rate/100*tenor_pay30/365*mix_pay30/100</f>
        <v>118.35616438356165</v>
      </c>
      <c r="D20" s="85">
        <f>D19*advance_rate/100*tenor_pay30/365*mix_pay30/100</f>
        <v>142.02739726027397</v>
      </c>
      <c r="E20" s="85">
        <f>E19*advance_rate/100*tenor_pay30/365*mix_pay30/100</f>
        <v>94.68493150684931</v>
      </c>
      <c r="F20" s="85">
        <f>F19*advance_rate/100*tenor_pay30/365*mix_pay30/100</f>
        <v>71.013698630136986</v>
      </c>
    </row>
    <row r="21" spans="1:6">
      <c r="A21" s="84" t="s">
        <v>391</v>
      </c>
      <c r="B21" s="85">
        <f>CHOOSE($C$1,C21,D21,E21,F21)</f>
        <v>517.80821917808214</v>
      </c>
      <c r="C21" s="85">
        <f>C19*advance_rate/100*tenor_bnpl/365*mix_bnpl/100</f>
        <v>517.80821917808214</v>
      </c>
      <c r="D21" s="85">
        <f>D19*advance_rate/100*tenor_bnpl/365*mix_bnpl/100</f>
        <v>621.36986301369859</v>
      </c>
      <c r="E21" s="85">
        <f>E19*advance_rate/100*tenor_bnpl/365*mix_bnpl/100</f>
        <v>414.24657534246575</v>
      </c>
      <c r="F21" s="85">
        <f>F19*advance_rate/100*tenor_bnpl/365*mix_bnpl/100</f>
        <v>310.6849315068493</v>
      </c>
    </row>
    <row r="22" spans="1:6">
      <c r="A22" s="84" t="s">
        <v>392</v>
      </c>
      <c r="B22" s="85">
        <f>CHOOSE($C$1,C22,D22,E22,F22)</f>
        <v>177.53424657534248</v>
      </c>
      <c r="C22" s="85">
        <f>C19*advance_rate/100*tenor_ext/365*mix_ext/100</f>
        <v>177.53424657534248</v>
      </c>
      <c r="D22" s="85">
        <f>D19*advance_rate/100*tenor_ext/365*mix_ext/100</f>
        <v>213.04109589041093</v>
      </c>
      <c r="E22" s="85">
        <f>E19*advance_rate/100*tenor_ext/365*mix_ext/100</f>
        <v>142.02739726027397</v>
      </c>
      <c r="F22" s="85">
        <f>F19*advance_rate/100*tenor_ext/365*mix_ext/100</f>
        <v>106.52054794520546</v>
      </c>
    </row>
    <row r="23" spans="1:6">
      <c r="A23" s="92" t="s">
        <v>393</v>
      </c>
      <c r="B23" s="93">
        <f>CHOOSE($C$1,C23,D23,E23,F23)</f>
        <v>813.69863013698637</v>
      </c>
      <c r="C23" s="85">
        <f>C20+C21+C22</f>
        <v>813.69863013698637</v>
      </c>
      <c r="D23" s="85">
        <f>D20+D21+D22</f>
        <v>976.43835616438344</v>
      </c>
      <c r="E23" s="85">
        <f>E20+E21+E22</f>
        <v>650.95890410958896</v>
      </c>
      <c r="F23" s="85">
        <f>F20+F21+F22</f>
        <v>488.21917808219172</v>
      </c>
    </row>
    <row r="24" spans="1:6">
      <c r="A24" s="84"/>
      <c r="B24" s="84"/>
      <c r="C24" s="84"/>
      <c r="D24" s="84"/>
      <c r="E24" s="84"/>
      <c r="F24" s="84"/>
    </row>
    <row r="25" spans="1:6">
      <c r="A25" s="84" t="s">
        <v>394</v>
      </c>
      <c r="B25" s="85">
        <f>CHOOSE($C$1,C25,D25,E25,F25)</f>
        <v>140.07452054794521</v>
      </c>
      <c r="C25" s="85">
        <f>C20*C6*12/100+C21*C7*12/100+C22*C8/100</f>
        <v>140.07452054794521</v>
      </c>
      <c r="D25" s="85">
        <f>D20*D6*12/100+D21*D7*12/100+D22*D8/100</f>
        <v>190.67178082191779</v>
      </c>
      <c r="E25" s="85">
        <f>E20*E6*12/100+E21*E7*12/100+E22*E8/100</f>
        <v>97.004712328767113</v>
      </c>
      <c r="F25" s="85">
        <f>F20*F6*12/100+F21*F7*12/100+F22*F8/100</f>
        <v>84.044712328767105</v>
      </c>
    </row>
    <row r="26" spans="1:6">
      <c r="A26" s="84" t="s">
        <v>395</v>
      </c>
      <c r="B26" s="85">
        <f>CHOOSE($C$1,C26,D26,E26,F26)</f>
        <v>52.890410958904113</v>
      </c>
      <c r="C26" s="85">
        <f>C23*C9/100</f>
        <v>52.890410958904113</v>
      </c>
      <c r="D26" s="85">
        <f>D23*D9/100</f>
        <v>58.586301369863001</v>
      </c>
      <c r="E26" s="85">
        <f>E23*E9/100</f>
        <v>48.821917808219169</v>
      </c>
      <c r="F26" s="85">
        <f>F23*F9/100</f>
        <v>41.498630136986293</v>
      </c>
    </row>
    <row r="27" spans="1:6">
      <c r="A27" s="92" t="s">
        <v>396</v>
      </c>
      <c r="B27" s="93">
        <f>CHOOSE($C$1,C27,D27,E27,F27)</f>
        <v>87.1841095890411</v>
      </c>
      <c r="C27" s="85">
        <f>C25-C26</f>
        <v>87.1841095890411</v>
      </c>
      <c r="D27" s="85">
        <f>D25-D26</f>
        <v>132.08547945205478</v>
      </c>
      <c r="E27" s="85">
        <f>E25-E26</f>
        <v>48.182794520547944</v>
      </c>
      <c r="F27" s="85">
        <f>F25-F26</f>
        <v>42.546082191780812</v>
      </c>
    </row>
    <row r="28" spans="1:6">
      <c r="A28" s="84" t="s">
        <v>397</v>
      </c>
      <c r="B28" s="85">
        <f>CHOOSE($C$1,C28,D28,E28,F28)</f>
        <v>21.688767123287668</v>
      </c>
      <c r="C28" s="85">
        <f>C20*C10*lgd_pay30/10000+C21*C11*lgd_bnpl/10000+C22*C12*lgd_ext/10000</f>
        <v>21.688767123287668</v>
      </c>
      <c r="D28" s="85">
        <f>D20*D10*lgd_pay30/10000+D21*D11*lgd_bnpl/10000+D22*D12*lgd_ext/10000</f>
        <v>20.821216438356164</v>
      </c>
      <c r="E28" s="85">
        <f>E20*E10*lgd_pay30/10000+E21*E11*lgd_bnpl/10000+E22*E12*lgd_ext/10000</f>
        <v>22.556317808219177</v>
      </c>
      <c r="F28" s="85">
        <f>F20*F10*lgd_pay30/10000+F21*F11*lgd_bnpl/10000+F22*F12*lgd_ext/10000</f>
        <v>23.423868493150682</v>
      </c>
    </row>
    <row r="29" spans="1:6">
      <c r="A29" s="84" t="s">
        <v>398</v>
      </c>
      <c r="B29" s="85">
        <f>CHOOSE($C$1,C29,D29,E29,F29)</f>
        <v>19.528767123287672</v>
      </c>
      <c r="C29" s="85">
        <f>C23*C13*opex_y3_mult/100</f>
        <v>19.528767123287672</v>
      </c>
      <c r="D29" s="85">
        <f>D23*D13*opex_y3_mult/100</f>
        <v>23.434520547945205</v>
      </c>
      <c r="E29" s="85">
        <f>E23*E13*opex_y3_mult/100</f>
        <v>15.623013698630134</v>
      </c>
      <c r="F29" s="85">
        <f>F23*F13*opex_y3_mult/100</f>
        <v>14.158356164383559</v>
      </c>
    </row>
    <row r="30" spans="1:6">
      <c r="A30" s="81" t="s">
        <v>399</v>
      </c>
      <c r="B30" s="94">
        <f>CHOOSE($C$1,C30,D30,E30,F30)</f>
        <v>45.966575342465752</v>
      </c>
      <c r="C30" s="93">
        <f>C27-C28-C29</f>
        <v>45.966575342465752</v>
      </c>
      <c r="D30" s="93">
        <f>D27-D28-D29</f>
        <v>87.829742465753412</v>
      </c>
      <c r="E30" s="93">
        <f>E27-E28-E29</f>
        <v>10.003463013698633</v>
      </c>
      <c r="F30" s="93">
        <f>F27-F28-F29</f>
        <v>4.9638575342465714</v>
      </c>
    </row>
    <row r="31" spans="1:6">
      <c r="A31" s="92" t="s">
        <v>400</v>
      </c>
      <c r="B31" s="95">
        <f>CHOOSE($C$1,C31,D31,E31,F31)</f>
        <v>5.6490909090909085E-2</v>
      </c>
      <c r="C31" s="96">
        <f>C30/C23</f>
        <v>5.6490909090909085E-2</v>
      </c>
      <c r="D31" s="96">
        <f>D30/D23</f>
        <v>8.9949090909090909E-2</v>
      </c>
      <c r="E31" s="96">
        <f>E30/E23</f>
        <v>1.5367272727272735E-2</v>
      </c>
      <c r="F31" s="96">
        <f>F30/F23</f>
        <v>1.0167272727272721E-2</v>
      </c>
    </row>
    <row r="32" spans="1:6">
      <c r="A32" s="84" t="s">
        <v>582</v>
      </c>
      <c r="B32" s="85">
        <f>CHOOSE($C$1,C32,D32,E32,F32)</f>
        <v>113.9178082191781</v>
      </c>
      <c r="C32" s="85">
        <f>C23*equity_pct/100</f>
        <v>113.9178082191781</v>
      </c>
      <c r="D32" s="85">
        <f>D23*equity_pct/100</f>
        <v>136.70136986301367</v>
      </c>
      <c r="E32" s="85">
        <f>E23*equity_pct/100</f>
        <v>91.134246575342459</v>
      </c>
      <c r="F32" s="85">
        <f>F23*equity_pct/100</f>
        <v>68.350684931506834</v>
      </c>
    </row>
    <row r="33" spans="1:6">
      <c r="A33" s="92" t="s">
        <v>401</v>
      </c>
      <c r="B33" s="95">
        <f>CHOOSE($C$1,C33,D33,E33,F33)</f>
        <v>0.40350649350649342</v>
      </c>
      <c r="C33" s="96">
        <f>IF(C32&gt;0,C30/C32,0)</f>
        <v>0.40350649350649342</v>
      </c>
      <c r="D33" s="96">
        <f>IF(D32&gt;0,D30/D32,0)</f>
        <v>0.64249350649350656</v>
      </c>
      <c r="E33" s="96">
        <f>IF(E32&gt;0,E30/E32,0)</f>
        <v>0.1097662337662338</v>
      </c>
      <c r="F33" s="96">
        <f>IF(F32&gt;0,F30/F32,0)</f>
        <v>7.2623376623376576E-2</v>
      </c>
    </row>
  </sheetData>
  <dataValidations count="1">
    <dataValidation type="list" allowBlank="1" showInputMessage="1" showErrorMessage="1" errorTitle="Invalid scenario" error="Pick Base, Upside, Downside, or Stress." sqref="B1" xr:uid="{F2F4905F-8E61-F84E-B065-B20700947DA7}">
      <formula1>"Base,Upside,Downside,Stress"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2901-4FDC-1F4A-9209-AEB9FE5C31A1}">
  <sheetPr>
    <tabColor rgb="FFE8A87C"/>
  </sheetPr>
  <dimension ref="A1:E37"/>
  <sheetViews>
    <sheetView workbookViewId="0">
      <pane ySplit="4" topLeftCell="A5" activePane="bottomLeft" state="frozen"/>
      <selection pane="bottomLeft"/>
    </sheetView>
  </sheetViews>
  <sheetFormatPr baseColWidth="10" defaultRowHeight="15"/>
  <cols>
    <col min="1" max="1" width="46.6640625" customWidth="1"/>
    <col min="2" max="5" width="15.83203125" customWidth="1"/>
  </cols>
  <sheetData>
    <row r="1" spans="1:5" ht="16">
      <c r="A1" s="42" t="s">
        <v>402</v>
      </c>
    </row>
    <row r="2" spans="1:5">
      <c r="A2" s="43" t="s">
        <v>403</v>
      </c>
    </row>
    <row r="4" spans="1:5">
      <c r="A4" s="75" t="s">
        <v>404</v>
      </c>
      <c r="B4" s="101"/>
      <c r="C4" s="101"/>
      <c r="D4" s="101"/>
      <c r="E4" s="104"/>
    </row>
    <row r="5" spans="1:5">
      <c r="A5" s="76"/>
      <c r="B5" s="71"/>
      <c r="C5" s="71"/>
      <c r="D5" s="71"/>
      <c r="E5" s="78"/>
    </row>
    <row r="6" spans="1:5">
      <c r="A6" s="102" t="s">
        <v>405</v>
      </c>
      <c r="B6" s="98">
        <v>8</v>
      </c>
      <c r="C6" s="71" t="s">
        <v>406</v>
      </c>
      <c r="D6" s="71"/>
      <c r="E6" s="78"/>
    </row>
    <row r="7" spans="1:5">
      <c r="A7" s="76"/>
      <c r="B7" s="71"/>
      <c r="C7" s="71"/>
      <c r="D7" s="71"/>
      <c r="E7" s="78"/>
    </row>
    <row r="8" spans="1:5">
      <c r="A8" s="76" t="s">
        <v>407</v>
      </c>
      <c r="B8" s="99">
        <f>advance_rate/100*(mix_pay30/100*tenor_pay30+mix_bnpl/100*tenor_bnpl+mix_ext/100*tenor_ext)/365</f>
        <v>0.20342465753424657</v>
      </c>
      <c r="C8" s="100" t="s">
        <v>408</v>
      </c>
      <c r="D8" s="71"/>
      <c r="E8" s="78"/>
    </row>
    <row r="9" spans="1:5">
      <c r="A9" s="76"/>
      <c r="B9" s="71"/>
      <c r="C9" s="71"/>
      <c r="D9" s="71"/>
      <c r="E9" s="78"/>
    </row>
    <row r="10" spans="1:5">
      <c r="A10" s="103" t="s">
        <v>409</v>
      </c>
      <c r="B10" s="87" t="s">
        <v>175</v>
      </c>
      <c r="C10" s="87" t="s">
        <v>176</v>
      </c>
      <c r="D10" s="87" t="s">
        <v>177</v>
      </c>
      <c r="E10" s="105" t="s">
        <v>410</v>
      </c>
    </row>
    <row r="11" spans="1:5">
      <c r="A11" s="76" t="s">
        <v>411</v>
      </c>
      <c r="B11" s="73">
        <f>fee_pay30_mo*12</f>
        <v>15.600000000000001</v>
      </c>
      <c r="C11" s="73">
        <f>fee_bnpl_mo*12</f>
        <v>18</v>
      </c>
      <c r="D11" s="73">
        <f>fee_ext_apr</f>
        <v>16</v>
      </c>
      <c r="E11" s="106">
        <f>B11*(mix_pay30/100*tenor_pay30/(mix_pay30/100*tenor_pay30+mix_bnpl/100*tenor_bnpl+mix_ext/100*tenor_ext))+C11*(mix_bnpl/100*tenor_bnpl/(mix_pay30/100*tenor_pay30+mix_bnpl/100*tenor_bnpl+mix_ext/100*tenor_ext))+D11*(mix_ext/100*tenor_ext/(mix_pay30/100*tenor_pay30+mix_bnpl/100*tenor_bnpl+mix_ext/100*tenor_ext))</f>
        <v>17.214545454545455</v>
      </c>
    </row>
    <row r="12" spans="1:5">
      <c r="A12" s="76" t="s">
        <v>273</v>
      </c>
      <c r="B12" s="73">
        <f>pd_pay30*lgd_pay30/100</f>
        <v>0.7</v>
      </c>
      <c r="C12" s="73">
        <f>pd_bnpl*lgd_bnpl/100</f>
        <v>1.8</v>
      </c>
      <c r="D12" s="73">
        <f>pd_ext*lgd_ext/100</f>
        <v>6.5</v>
      </c>
      <c r="E12" s="106">
        <f>B12*(mix_pay30/100*tenor_pay30/(mix_pay30/100*tenor_pay30+mix_bnpl/100*tenor_bnpl+mix_ext/100*tenor_ext))+C12*(mix_bnpl/100*tenor_bnpl/(mix_pay30/100*tenor_pay30+mix_bnpl/100*tenor_bnpl+mix_ext/100*tenor_ext))+D12*(mix_ext/100*tenor_ext/(mix_pay30/100*tenor_pay30+mix_bnpl/100*tenor_bnpl+mix_ext/100*tenor_ext))</f>
        <v>2.6654545454545455</v>
      </c>
    </row>
    <row r="13" spans="1:5">
      <c r="A13" s="76"/>
      <c r="B13" s="71"/>
      <c r="C13" s="71"/>
      <c r="D13" s="71"/>
      <c r="E13" s="78"/>
    </row>
    <row r="14" spans="1:5">
      <c r="A14" s="89" t="s">
        <v>412</v>
      </c>
      <c r="B14" s="73">
        <f>E11-cof_apr-E12-opex_pct*opex_y2_mult</f>
        <v>5.0490909090909089</v>
      </c>
      <c r="C14" s="100" t="s">
        <v>413</v>
      </c>
      <c r="D14" s="71"/>
      <c r="E14" s="78"/>
    </row>
    <row r="15" spans="1:5">
      <c r="A15" s="76"/>
      <c r="B15" s="71"/>
      <c r="C15" s="71"/>
      <c r="D15" s="71"/>
      <c r="E15" s="78"/>
    </row>
    <row r="16" spans="1:5">
      <c r="A16" s="76" t="s">
        <v>414</v>
      </c>
      <c r="B16" s="99">
        <f>B8*B14/100</f>
        <v>1.0271095890410958E-2</v>
      </c>
      <c r="C16" s="100" t="s">
        <v>415</v>
      </c>
      <c r="D16" s="71"/>
      <c r="E16" s="78"/>
    </row>
    <row r="17" spans="1:5">
      <c r="A17" s="76"/>
      <c r="B17" s="71"/>
      <c r="C17" s="71"/>
      <c r="D17" s="71"/>
      <c r="E17" s="78"/>
    </row>
    <row r="18" spans="1:5">
      <c r="A18" s="90" t="s">
        <v>416</v>
      </c>
      <c r="B18" s="88">
        <f>B6/B16</f>
        <v>778.88475439789818</v>
      </c>
      <c r="C18" s="100" t="s">
        <v>417</v>
      </c>
      <c r="D18" s="71"/>
      <c r="E18" s="78"/>
    </row>
    <row r="19" spans="1:5">
      <c r="A19" s="76" t="s">
        <v>418</v>
      </c>
      <c r="B19" s="72">
        <f>disb_y2</f>
        <v>1500</v>
      </c>
      <c r="C19" s="71" t="s">
        <v>419</v>
      </c>
      <c r="D19" s="71"/>
      <c r="E19" s="78"/>
    </row>
    <row r="20" spans="1:5">
      <c r="A20" s="76" t="s">
        <v>420</v>
      </c>
      <c r="B20" s="72">
        <f>B19-B18</f>
        <v>721.11524560210182</v>
      </c>
      <c r="C20" s="71" t="s">
        <v>421</v>
      </c>
      <c r="D20" s="71"/>
      <c r="E20" s="78"/>
    </row>
    <row r="21" spans="1:5">
      <c r="A21" s="77" t="s">
        <v>347</v>
      </c>
      <c r="B21" s="74" t="str">
        <f>IF(B20&gt;0,"✓ PASS — "&amp;TEXT(B20/B18,"0%")&amp;" headroom","✗ BREACH — disb_y2 below break-even")</f>
        <v>✓ PASS — 93% headroom</v>
      </c>
      <c r="C21" s="74"/>
      <c r="D21" s="74"/>
      <c r="E21" s="79"/>
    </row>
    <row r="24" spans="1:5">
      <c r="A24" s="75" t="s">
        <v>422</v>
      </c>
      <c r="B24" s="101"/>
      <c r="C24" s="101"/>
      <c r="D24" s="101"/>
      <c r="E24" s="104"/>
    </row>
    <row r="25" spans="1:5">
      <c r="A25" s="76"/>
      <c r="B25" s="71"/>
      <c r="C25" s="71"/>
      <c r="D25" s="71"/>
      <c r="E25" s="78"/>
    </row>
    <row r="26" spans="1:5">
      <c r="A26" s="102" t="s">
        <v>423</v>
      </c>
      <c r="B26" s="59">
        <v>5</v>
      </c>
      <c r="C26" s="71" t="s">
        <v>424</v>
      </c>
      <c r="D26" s="71"/>
      <c r="E26" s="78"/>
    </row>
    <row r="27" spans="1:5">
      <c r="A27" s="76"/>
      <c r="B27" s="71"/>
      <c r="C27" s="71"/>
      <c r="D27" s="71"/>
      <c r="E27" s="78"/>
    </row>
    <row r="28" spans="1:5">
      <c r="A28" s="76" t="s">
        <v>425</v>
      </c>
      <c r="B28" s="73">
        <f>E11</f>
        <v>17.214545454545455</v>
      </c>
      <c r="C28" s="71" t="s">
        <v>426</v>
      </c>
      <c r="D28" s="71"/>
      <c r="E28" s="78"/>
    </row>
    <row r="29" spans="1:5">
      <c r="A29" s="76" t="s">
        <v>427</v>
      </c>
      <c r="B29" s="73">
        <f>opex_pct*opex_y3_mult</f>
        <v>2.4</v>
      </c>
      <c r="C29" s="100" t="s">
        <v>428</v>
      </c>
      <c r="D29" s="71"/>
      <c r="E29" s="78"/>
    </row>
    <row r="30" spans="1:5">
      <c r="A30" s="76" t="s">
        <v>429</v>
      </c>
      <c r="B30" s="73">
        <f>B28-cof_apr</f>
        <v>10.714545454545455</v>
      </c>
      <c r="C30" s="100" t="s">
        <v>430</v>
      </c>
      <c r="D30" s="71"/>
      <c r="E30" s="78"/>
    </row>
    <row r="31" spans="1:5">
      <c r="A31" s="76" t="s">
        <v>431</v>
      </c>
      <c r="B31" s="73">
        <f>E12</f>
        <v>2.6654545454545455</v>
      </c>
      <c r="C31" s="71" t="s">
        <v>432</v>
      </c>
      <c r="D31" s="71"/>
      <c r="E31" s="78"/>
    </row>
    <row r="32" spans="1:5">
      <c r="A32" s="76"/>
      <c r="B32" s="71"/>
      <c r="C32" s="71"/>
      <c r="D32" s="71"/>
      <c r="E32" s="78"/>
    </row>
    <row r="33" spans="1:5">
      <c r="A33" s="76" t="s">
        <v>433</v>
      </c>
      <c r="B33" s="73">
        <f>B30-B29-B26</f>
        <v>3.3145454545454545</v>
      </c>
      <c r="C33" s="100" t="s">
        <v>434</v>
      </c>
      <c r="D33" s="71"/>
      <c r="E33" s="78"/>
    </row>
    <row r="34" spans="1:5">
      <c r="A34" s="90" t="s">
        <v>435</v>
      </c>
      <c r="B34" s="107">
        <f>IF(B31&gt;0,B33/B31,0)</f>
        <v>1.2435197817189632</v>
      </c>
      <c r="C34" s="71" t="s">
        <v>436</v>
      </c>
      <c r="D34" s="71"/>
      <c r="E34" s="78"/>
    </row>
    <row r="35" spans="1:5">
      <c r="A35" s="76" t="s">
        <v>437</v>
      </c>
      <c r="B35" s="71" t="str">
        <f>IF(B34&gt;=1,"PDs can rise "&amp;TEXT(B34-1,"0%")&amp;" before ROA hits "&amp;B26&amp;"%","PDs must FALL "&amp;TEXT(1-B34,"0%")&amp;" to reach ROA "&amp;B26&amp;"%")</f>
        <v>PDs can rise 24% before ROA hits 5%</v>
      </c>
      <c r="C35" s="71"/>
      <c r="D35" s="71"/>
      <c r="E35" s="78"/>
    </row>
    <row r="36" spans="1:5">
      <c r="A36" s="76" t="s">
        <v>438</v>
      </c>
      <c r="B36" s="71" t="str">
        <f>IF(B34&gt;=1.8,"✓ Tolerates Stress — still earns ≥"&amp;B26&amp;"% ROA",IF(B34&gt;=1.5,"⚠ Below Stress; tolerates 1.5× PD","✗ Below 1.5× PD — risk-rate elastic"))</f>
        <v>✗ Below 1.5× PD — risk-rate elastic</v>
      </c>
      <c r="C36" s="71"/>
      <c r="D36" s="71"/>
      <c r="E36" s="78"/>
    </row>
    <row r="37" spans="1:5">
      <c r="A37" s="77" t="s">
        <v>439</v>
      </c>
      <c r="B37" s="74" t="str">
        <f>IF(B34&gt;=1.3,"✓ Tolerates Downside","✗ Below Downside multiplier")</f>
        <v>✗ Below Downside multiplier</v>
      </c>
      <c r="C37" s="74"/>
      <c r="D37" s="74"/>
      <c r="E37" s="79"/>
    </row>
  </sheetData>
  <conditionalFormatting sqref="B21">
    <cfRule type="containsText" dxfId="12" priority="1" operator="containsText" text="✓">
      <formula>NOT(ISERROR(SEARCH("✓",B21)))</formula>
    </cfRule>
  </conditionalFormatting>
  <conditionalFormatting sqref="B21">
    <cfRule type="containsText" dxfId="11" priority="2" operator="containsText" text="⚠">
      <formula>NOT(ISERROR(SEARCH("⚠",B21)))</formula>
    </cfRule>
  </conditionalFormatting>
  <conditionalFormatting sqref="B21">
    <cfRule type="containsText" dxfId="10" priority="3" operator="containsText" text="✗">
      <formula>NOT(ISERROR(SEARCH("✗",B21)))</formula>
    </cfRule>
  </conditionalFormatting>
  <conditionalFormatting sqref="B36">
    <cfRule type="containsText" dxfId="9" priority="4" operator="containsText" text="✓">
      <formula>NOT(ISERROR(SEARCH("✓",B36)))</formula>
    </cfRule>
  </conditionalFormatting>
  <conditionalFormatting sqref="B36">
    <cfRule type="containsText" dxfId="8" priority="5" operator="containsText" text="⚠">
      <formula>NOT(ISERROR(SEARCH("⚠",B36)))</formula>
    </cfRule>
  </conditionalFormatting>
  <conditionalFormatting sqref="B36">
    <cfRule type="containsText" dxfId="7" priority="6" operator="containsText" text="✗">
      <formula>NOT(ISERROR(SEARCH("✗",B36)))</formula>
    </cfRule>
  </conditionalFormatting>
  <conditionalFormatting sqref="B37">
    <cfRule type="containsText" dxfId="6" priority="7" operator="containsText" text="✓">
      <formula>NOT(ISERROR(SEARCH("✓",B37)))</formula>
    </cfRule>
  </conditionalFormatting>
  <conditionalFormatting sqref="B37">
    <cfRule type="containsText" dxfId="5" priority="8" operator="containsText" text="⚠">
      <formula>NOT(ISERROR(SEARCH("⚠",B37)))</formula>
    </cfRule>
  </conditionalFormatting>
  <conditionalFormatting sqref="B37">
    <cfRule type="containsText" dxfId="4" priority="9" operator="containsText" text="✗">
      <formula>NOT(ISERROR(SEARCH("✗",B37)))</formula>
    </cfRule>
  </conditionalFormatting>
  <conditionalFormatting sqref="B20">
    <cfRule type="cellIs" dxfId="3" priority="10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6278-80B5-F448-84F7-2A8118CF025F}">
  <sheetPr>
    <tabColor rgb="FFE8A87C"/>
  </sheetPr>
  <dimension ref="A1:Z30"/>
  <sheetViews>
    <sheetView workbookViewId="0">
      <pane xSplit="1" ySplit="20" topLeftCell="B21" activePane="bottomRight" state="frozen"/>
      <selection pane="topRight" activeCell="B1" sqref="B1"/>
      <selection pane="bottomLeft" activeCell="A21" sqref="A21"/>
      <selection pane="bottomRight" activeCell="A19" activeCellId="1" sqref="A7:E7 A19"/>
    </sheetView>
  </sheetViews>
  <sheetFormatPr baseColWidth="10" defaultRowHeight="15"/>
  <cols>
    <col min="1" max="1" width="36.6640625" customWidth="1"/>
    <col min="2" max="26" width="8.33203125" customWidth="1"/>
  </cols>
  <sheetData>
    <row r="1" spans="1:6" ht="16">
      <c r="A1" s="42" t="s">
        <v>440</v>
      </c>
    </row>
    <row r="2" spans="1:6">
      <c r="A2" s="43" t="s">
        <v>441</v>
      </c>
    </row>
    <row r="4" spans="1:6">
      <c r="A4" s="45" t="s">
        <v>442</v>
      </c>
    </row>
    <row r="5" spans="1:6">
      <c r="A5" t="s">
        <v>443</v>
      </c>
      <c r="B5" t="s">
        <v>444</v>
      </c>
      <c r="C5" t="s">
        <v>445</v>
      </c>
      <c r="D5" t="s">
        <v>446</v>
      </c>
      <c r="E5" t="s">
        <v>447</v>
      </c>
      <c r="F5" t="s">
        <v>265</v>
      </c>
    </row>
    <row r="6" spans="1:6">
      <c r="A6" s="97" t="s">
        <v>448</v>
      </c>
      <c r="B6" s="64">
        <v>0.3</v>
      </c>
      <c r="C6" s="64">
        <v>0.55000000000000004</v>
      </c>
      <c r="D6" s="64">
        <v>0.8</v>
      </c>
      <c r="E6" s="64">
        <v>1</v>
      </c>
      <c r="F6" t="s">
        <v>449</v>
      </c>
    </row>
    <row r="7" spans="1:6">
      <c r="A7" s="134" t="s">
        <v>450</v>
      </c>
      <c r="B7" s="134" t="s">
        <v>451</v>
      </c>
      <c r="C7" s="134" t="s">
        <v>452</v>
      </c>
      <c r="D7" s="134" t="s">
        <v>453</v>
      </c>
      <c r="E7" s="134" t="s">
        <v>454</v>
      </c>
    </row>
    <row r="9" spans="1:6">
      <c r="A9" s="45" t="s">
        <v>455</v>
      </c>
    </row>
    <row r="10" spans="1:6">
      <c r="A10" t="s">
        <v>456</v>
      </c>
      <c r="B10" t="s">
        <v>457</v>
      </c>
      <c r="C10" t="s">
        <v>458</v>
      </c>
      <c r="D10" t="s">
        <v>459</v>
      </c>
      <c r="E10" t="s">
        <v>460</v>
      </c>
      <c r="F10" t="s">
        <v>461</v>
      </c>
    </row>
    <row r="11" spans="1:6">
      <c r="A11" s="44" t="s">
        <v>462</v>
      </c>
      <c r="B11" s="19">
        <f>disb_y1</f>
        <v>250</v>
      </c>
      <c r="C11" s="19">
        <f>B11*advance_rate/100</f>
        <v>225</v>
      </c>
      <c r="D11" s="66">
        <f>(mix_pay30/100*tenor_pay30*pd_pay30*lgd_pay30+mix_bnpl/100*tenor_bnpl*pd_bnpl*lgd_bnpl+mix_ext/100*tenor_ext*pd_ext*lgd_ext)/365/100</f>
        <v>0.60246575342465758</v>
      </c>
      <c r="E11" s="19">
        <f>C11*D11/100</f>
        <v>1.3555479452054795</v>
      </c>
      <c r="F11" s="46" t="s">
        <v>463</v>
      </c>
    </row>
    <row r="12" spans="1:6">
      <c r="A12" s="44" t="s">
        <v>464</v>
      </c>
      <c r="B12" s="19">
        <f>disb_y2</f>
        <v>1500</v>
      </c>
      <c r="C12" s="19">
        <f>B12*advance_rate/100</f>
        <v>1350</v>
      </c>
      <c r="D12" s="66">
        <f>D11</f>
        <v>0.60246575342465758</v>
      </c>
      <c r="E12" s="19">
        <f>C12*D12/100</f>
        <v>8.1332876712328783</v>
      </c>
      <c r="F12" t="s">
        <v>465</v>
      </c>
    </row>
    <row r="13" spans="1:6">
      <c r="A13" s="44" t="s">
        <v>466</v>
      </c>
      <c r="B13" s="19">
        <f>disb_y3</f>
        <v>4000</v>
      </c>
      <c r="C13" s="19">
        <f>B13*advance_rate/100</f>
        <v>3600</v>
      </c>
      <c r="D13" s="66">
        <f>D11</f>
        <v>0.60246575342465758</v>
      </c>
      <c r="E13" s="19">
        <f>C13*D13/100</f>
        <v>21.688767123287672</v>
      </c>
      <c r="F13" t="s">
        <v>467</v>
      </c>
    </row>
    <row r="14" spans="1:6">
      <c r="A14" s="44" t="s">
        <v>468</v>
      </c>
      <c r="C14" s="49">
        <f>C11+C12+C13</f>
        <v>5175</v>
      </c>
    </row>
    <row r="15" spans="1:6">
      <c r="A15" s="44" t="s">
        <v>469</v>
      </c>
      <c r="E15" s="49">
        <f>E11+E12+E13</f>
        <v>31.17760273972603</v>
      </c>
    </row>
    <row r="18" spans="1:26">
      <c r="A18" s="45" t="s">
        <v>470</v>
      </c>
    </row>
    <row r="19" spans="1:26">
      <c r="A19" s="134" t="s">
        <v>471</v>
      </c>
    </row>
    <row r="20" spans="1:26">
      <c r="A20" t="s">
        <v>471</v>
      </c>
      <c r="B20" s="45" t="s">
        <v>472</v>
      </c>
      <c r="C20" s="45" t="s">
        <v>473</v>
      </c>
      <c r="D20" s="45" t="s">
        <v>474</v>
      </c>
      <c r="E20" s="45" t="s">
        <v>475</v>
      </c>
      <c r="F20" s="45" t="s">
        <v>476</v>
      </c>
      <c r="G20" s="45" t="s">
        <v>477</v>
      </c>
      <c r="H20" s="45" t="s">
        <v>444</v>
      </c>
      <c r="I20" s="45" t="s">
        <v>478</v>
      </c>
      <c r="J20" s="45" t="s">
        <v>479</v>
      </c>
      <c r="K20" s="45" t="s">
        <v>480</v>
      </c>
      <c r="L20" s="45" t="s">
        <v>481</v>
      </c>
      <c r="M20" s="45" t="s">
        <v>482</v>
      </c>
      <c r="N20" s="45" t="s">
        <v>445</v>
      </c>
      <c r="O20" s="45" t="s">
        <v>483</v>
      </c>
      <c r="P20" s="45" t="s">
        <v>484</v>
      </c>
      <c r="Q20" s="45" t="s">
        <v>485</v>
      </c>
      <c r="R20" s="45" t="s">
        <v>486</v>
      </c>
      <c r="S20" s="45" t="s">
        <v>487</v>
      </c>
      <c r="T20" s="45" t="s">
        <v>446</v>
      </c>
      <c r="U20" s="45" t="s">
        <v>488</v>
      </c>
      <c r="V20" s="45" t="s">
        <v>489</v>
      </c>
      <c r="W20" s="45" t="s">
        <v>490</v>
      </c>
      <c r="X20" s="45" t="s">
        <v>491</v>
      </c>
      <c r="Y20" s="45" t="s">
        <v>492</v>
      </c>
      <c r="Z20" s="45" t="s">
        <v>447</v>
      </c>
    </row>
    <row r="21" spans="1:26">
      <c r="A21" s="44" t="s">
        <v>493</v>
      </c>
      <c r="B21" s="48">
        <f>0</f>
        <v>0</v>
      </c>
      <c r="C21" s="48">
        <f>$B$6*1/6</f>
        <v>4.9999999999999996E-2</v>
      </c>
      <c r="D21" s="48">
        <f>$B$6*2/6</f>
        <v>9.9999999999999992E-2</v>
      </c>
      <c r="E21" s="48">
        <f>$B$6*3/6</f>
        <v>0.15</v>
      </c>
      <c r="F21" s="48">
        <f>$B$6*4/6</f>
        <v>0.19999999999999998</v>
      </c>
      <c r="G21" s="48">
        <f>$B$6*5/6</f>
        <v>0.25</v>
      </c>
      <c r="H21" s="48">
        <f>$B$6*6/6</f>
        <v>0.3</v>
      </c>
      <c r="I21" s="48">
        <f>$B$6+($C$6-$B$6)*(7-6)/6</f>
        <v>0.34166666666666667</v>
      </c>
      <c r="J21" s="48">
        <f>$B$6+($C$6-$B$6)*(8-6)/6</f>
        <v>0.38333333333333336</v>
      </c>
      <c r="K21" s="48">
        <f>$B$6+($C$6-$B$6)*(9-6)/6</f>
        <v>0.42500000000000004</v>
      </c>
      <c r="L21" s="48">
        <f>$B$6+($C$6-$B$6)*(10-6)/6</f>
        <v>0.46666666666666667</v>
      </c>
      <c r="M21" s="48">
        <f>$B$6+($C$6-$B$6)*(11-6)/6</f>
        <v>0.5083333333333333</v>
      </c>
      <c r="N21" s="48">
        <f>$B$6+($C$6-$B$6)*(12-6)/6</f>
        <v>0.55000000000000004</v>
      </c>
      <c r="O21" s="48">
        <f>$C$6+($D$6-$C$6)*(13-12)/6</f>
        <v>0.59166666666666667</v>
      </c>
      <c r="P21" s="48">
        <f>$C$6+($D$6-$C$6)*(14-12)/6</f>
        <v>0.63333333333333341</v>
      </c>
      <c r="Q21" s="48">
        <f>$C$6+($D$6-$C$6)*(15-12)/6</f>
        <v>0.67500000000000004</v>
      </c>
      <c r="R21" s="48">
        <f>$C$6+($D$6-$C$6)*(16-12)/6</f>
        <v>0.71666666666666667</v>
      </c>
      <c r="S21" s="48">
        <f>$C$6+($D$6-$C$6)*(17-12)/6</f>
        <v>0.75833333333333341</v>
      </c>
      <c r="T21" s="48">
        <f>$C$6+($D$6-$C$6)*(18-12)/6</f>
        <v>0.8</v>
      </c>
      <c r="U21" s="48">
        <f>$D$6+($E$6-$D$6)*(19-18)/6</f>
        <v>0.83333333333333337</v>
      </c>
      <c r="V21" s="48">
        <f>$D$6+($E$6-$D$6)*(20-18)/6</f>
        <v>0.8666666666666667</v>
      </c>
      <c r="W21" s="48">
        <f>$D$6+($E$6-$D$6)*(21-18)/6</f>
        <v>0.9</v>
      </c>
      <c r="X21" s="48">
        <f>$D$6+($E$6-$D$6)*(22-18)/6</f>
        <v>0.93333333333333335</v>
      </c>
      <c r="Y21" s="48">
        <f>$D$6+($E$6-$D$6)*(23-18)/6</f>
        <v>0.96666666666666667</v>
      </c>
      <c r="Z21" s="48">
        <f>$D$6+($E$6-$D$6)*(24-18)/6</f>
        <v>1</v>
      </c>
    </row>
    <row r="22" spans="1:26">
      <c r="A22" s="44" t="s">
        <v>494</v>
      </c>
      <c r="B22" s="66">
        <f>$D$11*B21/100</f>
        <v>0</v>
      </c>
      <c r="C22" s="66">
        <f>$D$11*C21/100</f>
        <v>3.0123287671232878E-4</v>
      </c>
      <c r="D22" s="66">
        <f>$D$11*D21/100</f>
        <v>6.0246575342465757E-4</v>
      </c>
      <c r="E22" s="66">
        <f>$D$11*E21/100</f>
        <v>9.036986301369863E-4</v>
      </c>
      <c r="F22" s="66">
        <f>$D$11*F21/100</f>
        <v>1.2049315068493151E-3</v>
      </c>
      <c r="G22" s="66">
        <f>$D$11*G21/100</f>
        <v>1.506164383561644E-3</v>
      </c>
      <c r="H22" s="66">
        <f>$D$11*H21/100</f>
        <v>1.8073972602739726E-3</v>
      </c>
      <c r="I22" s="66">
        <f>$D$11*I21/100</f>
        <v>2.0584246575342468E-3</v>
      </c>
      <c r="J22" s="66">
        <f>$D$11*J21/100</f>
        <v>2.3094520547945209E-3</v>
      </c>
      <c r="K22" s="66">
        <f>$D$11*K21/100</f>
        <v>2.5604794520547951E-3</v>
      </c>
      <c r="L22" s="66">
        <f>$D$11*L21/100</f>
        <v>2.8115068493150684E-3</v>
      </c>
      <c r="M22" s="66">
        <f>$D$11*M21/100</f>
        <v>3.0625342465753426E-3</v>
      </c>
      <c r="N22" s="66">
        <f>$D$11*N21/100</f>
        <v>3.3135616438356168E-3</v>
      </c>
      <c r="O22" s="66">
        <f>$D$11*O21/100</f>
        <v>3.564589041095891E-3</v>
      </c>
      <c r="P22" s="66">
        <f>$D$11*P21/100</f>
        <v>3.8156164383561651E-3</v>
      </c>
      <c r="Q22" s="66">
        <f>$D$11*Q21/100</f>
        <v>4.0666438356164389E-3</v>
      </c>
      <c r="R22" s="66">
        <f>$D$11*R21/100</f>
        <v>4.3176712328767122E-3</v>
      </c>
      <c r="S22" s="66">
        <f>$D$11*S21/100</f>
        <v>4.5686986301369872E-3</v>
      </c>
      <c r="T22" s="66">
        <f>$D$11*T21/100</f>
        <v>4.8197260273972605E-3</v>
      </c>
      <c r="U22" s="66">
        <f>$D$11*U21/100</f>
        <v>5.0205479452054801E-3</v>
      </c>
      <c r="V22" s="66">
        <f>$D$11*V21/100</f>
        <v>5.2213698630136996E-3</v>
      </c>
      <c r="W22" s="66">
        <f>$D$11*W21/100</f>
        <v>5.4221917808219191E-3</v>
      </c>
      <c r="X22" s="66">
        <f>$D$11*X21/100</f>
        <v>5.6230136986301369E-3</v>
      </c>
      <c r="Y22" s="66">
        <f>$D$11*Y21/100</f>
        <v>5.8238356164383564E-3</v>
      </c>
      <c r="Z22" s="66">
        <f>$D$11*Z21/100</f>
        <v>6.0246575342465759E-3</v>
      </c>
    </row>
    <row r="23" spans="1:26">
      <c r="A23" s="44" t="s">
        <v>495</v>
      </c>
      <c r="B23" s="66">
        <f>$D$12*B21/100</f>
        <v>0</v>
      </c>
      <c r="C23" s="66">
        <f>$D$12*C21/100</f>
        <v>3.0123287671232878E-4</v>
      </c>
      <c r="D23" s="66">
        <f>$D$12*D21/100</f>
        <v>6.0246575342465757E-4</v>
      </c>
      <c r="E23" s="66">
        <f>$D$12*E21/100</f>
        <v>9.036986301369863E-4</v>
      </c>
      <c r="F23" s="66">
        <f>$D$12*F21/100</f>
        <v>1.2049315068493151E-3</v>
      </c>
      <c r="G23" s="66">
        <f>$D$12*G21/100</f>
        <v>1.506164383561644E-3</v>
      </c>
      <c r="H23" s="66">
        <f>$D$12*H21/100</f>
        <v>1.8073972602739726E-3</v>
      </c>
      <c r="I23" s="66">
        <f>$D$12*I21/100</f>
        <v>2.0584246575342468E-3</v>
      </c>
      <c r="J23" s="66">
        <f>$D$12*J21/100</f>
        <v>2.3094520547945209E-3</v>
      </c>
      <c r="K23" s="66">
        <f>$D$12*K21/100</f>
        <v>2.5604794520547951E-3</v>
      </c>
      <c r="L23" s="66">
        <f>$D$12*L21/100</f>
        <v>2.8115068493150684E-3</v>
      </c>
      <c r="M23" s="66">
        <f>$D$12*M21/100</f>
        <v>3.0625342465753426E-3</v>
      </c>
      <c r="N23" s="66">
        <f>$D$12*N21/100</f>
        <v>3.3135616438356168E-3</v>
      </c>
      <c r="O23" s="66">
        <f>$D$12*O21/100</f>
        <v>3.564589041095891E-3</v>
      </c>
      <c r="P23" s="66">
        <f>$D$12*P21/100</f>
        <v>3.8156164383561651E-3</v>
      </c>
      <c r="Q23" s="66">
        <f>$D$12*Q21/100</f>
        <v>4.0666438356164389E-3</v>
      </c>
      <c r="R23" s="66">
        <f>$D$12*R21/100</f>
        <v>4.3176712328767122E-3</v>
      </c>
      <c r="S23" s="66">
        <f>$D$12*S21/100</f>
        <v>4.5686986301369872E-3</v>
      </c>
      <c r="T23" s="66">
        <f>$D$12*T21/100</f>
        <v>4.8197260273972605E-3</v>
      </c>
      <c r="U23" s="66">
        <f>$D$12*U21/100</f>
        <v>5.0205479452054801E-3</v>
      </c>
      <c r="V23" s="66">
        <f>$D$12*V21/100</f>
        <v>5.2213698630136996E-3</v>
      </c>
      <c r="W23" s="66">
        <f>$D$12*W21/100</f>
        <v>5.4221917808219191E-3</v>
      </c>
      <c r="X23" s="66">
        <f>$D$12*X21/100</f>
        <v>5.6230136986301369E-3</v>
      </c>
      <c r="Y23" s="66">
        <f>$D$12*Y21/100</f>
        <v>5.8238356164383564E-3</v>
      </c>
      <c r="Z23" s="66">
        <f>$D$12*Z21/100</f>
        <v>6.0246575342465759E-3</v>
      </c>
    </row>
    <row r="24" spans="1:26">
      <c r="A24" s="44" t="s">
        <v>496</v>
      </c>
      <c r="B24" s="66">
        <f>$D$13*B21/100</f>
        <v>0</v>
      </c>
      <c r="C24" s="66">
        <f>$D$13*C21/100</f>
        <v>3.0123287671232878E-4</v>
      </c>
      <c r="D24" s="66">
        <f>$D$13*D21/100</f>
        <v>6.0246575342465757E-4</v>
      </c>
      <c r="E24" s="66">
        <f>$D$13*E21/100</f>
        <v>9.036986301369863E-4</v>
      </c>
      <c r="F24" s="66">
        <f>$D$13*F21/100</f>
        <v>1.2049315068493151E-3</v>
      </c>
      <c r="G24" s="66">
        <f>$D$13*G21/100</f>
        <v>1.506164383561644E-3</v>
      </c>
      <c r="H24" s="66">
        <f>$D$13*H21/100</f>
        <v>1.8073972602739726E-3</v>
      </c>
      <c r="I24" s="66">
        <f>$D$13*I21/100</f>
        <v>2.0584246575342468E-3</v>
      </c>
      <c r="J24" s="66">
        <f>$D$13*J21/100</f>
        <v>2.3094520547945209E-3</v>
      </c>
      <c r="K24" s="66">
        <f>$D$13*K21/100</f>
        <v>2.5604794520547951E-3</v>
      </c>
      <c r="L24" s="66">
        <f>$D$13*L21/100</f>
        <v>2.8115068493150684E-3</v>
      </c>
      <c r="M24" s="66">
        <f>$D$13*M21/100</f>
        <v>3.0625342465753426E-3</v>
      </c>
      <c r="N24" s="66">
        <f>$D$13*N21/100</f>
        <v>3.3135616438356168E-3</v>
      </c>
      <c r="O24" s="66">
        <f>$D$13*O21/100</f>
        <v>3.564589041095891E-3</v>
      </c>
      <c r="P24" s="66">
        <f>$D$13*P21/100</f>
        <v>3.8156164383561651E-3</v>
      </c>
      <c r="Q24" s="66">
        <f>$D$13*Q21/100</f>
        <v>4.0666438356164389E-3</v>
      </c>
      <c r="R24" s="66">
        <f>$D$13*R21/100</f>
        <v>4.3176712328767122E-3</v>
      </c>
      <c r="S24" s="66">
        <f>$D$13*S21/100</f>
        <v>4.5686986301369872E-3</v>
      </c>
      <c r="T24" s="66">
        <f>$D$13*T21/100</f>
        <v>4.8197260273972605E-3</v>
      </c>
      <c r="U24" s="66">
        <f>$D$13*U21/100</f>
        <v>5.0205479452054801E-3</v>
      </c>
      <c r="V24" s="66">
        <f>$D$13*V21/100</f>
        <v>5.2213698630136996E-3</v>
      </c>
      <c r="W24" s="66">
        <f>$D$13*W21/100</f>
        <v>5.4221917808219191E-3</v>
      </c>
      <c r="X24" s="66">
        <f>$D$13*X21/100</f>
        <v>5.6230136986301369E-3</v>
      </c>
      <c r="Y24" s="66">
        <f>$D$13*Y21/100</f>
        <v>5.8238356164383564E-3</v>
      </c>
      <c r="Z24" s="66">
        <f>$D$13*Z21/100</f>
        <v>6.0246575342465759E-3</v>
      </c>
    </row>
    <row r="25" spans="1:26">
      <c r="A25" s="44"/>
    </row>
    <row r="26" spans="1:26">
      <c r="A26" s="44" t="s">
        <v>497</v>
      </c>
      <c r="B26" s="19">
        <f>$E$11*B21</f>
        <v>0</v>
      </c>
      <c r="C26" s="19">
        <f>$E$11*C21</f>
        <v>6.7777397260273972E-2</v>
      </c>
      <c r="D26" s="19">
        <f>$E$11*D21</f>
        <v>0.13555479452054794</v>
      </c>
      <c r="E26" s="19">
        <f>$E$11*E21</f>
        <v>0.20333219178082193</v>
      </c>
      <c r="F26" s="19">
        <f>$E$11*F21</f>
        <v>0.27110958904109589</v>
      </c>
      <c r="G26" s="19">
        <f>$E$11*G21</f>
        <v>0.33888698630136987</v>
      </c>
      <c r="H26" s="19">
        <f>$E$11*H21</f>
        <v>0.40666438356164386</v>
      </c>
      <c r="I26" s="19">
        <f>$E$11*I21</f>
        <v>0.46314554794520552</v>
      </c>
      <c r="J26" s="19">
        <f>$E$11*J21</f>
        <v>0.51962671232876723</v>
      </c>
      <c r="K26" s="19">
        <f>$E$11*K21</f>
        <v>0.57610787671232888</v>
      </c>
      <c r="L26" s="19">
        <f>$E$11*L21</f>
        <v>0.63258904109589043</v>
      </c>
      <c r="M26" s="19">
        <f>$E$11*M21</f>
        <v>0.68907020547945208</v>
      </c>
      <c r="N26" s="19">
        <f>$E$11*N21</f>
        <v>0.74555136986301374</v>
      </c>
      <c r="O26" s="19">
        <f>$E$11*O21</f>
        <v>0.80203253424657539</v>
      </c>
      <c r="P26" s="19">
        <f>$E$11*P21</f>
        <v>0.85851369863013716</v>
      </c>
      <c r="Q26" s="19">
        <f>$E$11*Q21</f>
        <v>0.9149948630136987</v>
      </c>
      <c r="R26" s="19">
        <f>$E$11*R21</f>
        <v>0.97147602739726036</v>
      </c>
      <c r="S26" s="19">
        <f>$E$11*S21</f>
        <v>1.0279571917808221</v>
      </c>
      <c r="T26" s="19">
        <f>$E$11*T21</f>
        <v>1.0844383561643836</v>
      </c>
      <c r="U26" s="19">
        <f>$E$11*U21</f>
        <v>1.1296232876712329</v>
      </c>
      <c r="V26" s="19">
        <f>$E$11*V21</f>
        <v>1.1748082191780822</v>
      </c>
      <c r="W26" s="19">
        <f>$E$11*W21</f>
        <v>1.2199931506849315</v>
      </c>
      <c r="X26" s="19">
        <f>$E$11*X21</f>
        <v>1.2651780821917809</v>
      </c>
      <c r="Y26" s="19">
        <f>$E$11*Y21</f>
        <v>1.3103630136986302</v>
      </c>
      <c r="Z26" s="19">
        <f>$E$11*Z21</f>
        <v>1.3555479452054795</v>
      </c>
    </row>
    <row r="27" spans="1:26">
      <c r="A27" s="44" t="s">
        <v>498</v>
      </c>
      <c r="B27" s="19">
        <f>$E$12*B21</f>
        <v>0</v>
      </c>
      <c r="C27" s="19">
        <f>$E$12*C21</f>
        <v>0.40666438356164386</v>
      </c>
      <c r="D27" s="19">
        <f>$E$12*D21</f>
        <v>0.81332876712328772</v>
      </c>
      <c r="E27" s="19">
        <f>$E$12*E21</f>
        <v>1.2199931506849317</v>
      </c>
      <c r="F27" s="19">
        <f>$E$12*F21</f>
        <v>1.6266575342465754</v>
      </c>
      <c r="G27" s="19">
        <f>$E$12*G21</f>
        <v>2.0333219178082196</v>
      </c>
      <c r="H27" s="19">
        <f>$E$12*H21</f>
        <v>2.4399863013698635</v>
      </c>
      <c r="I27" s="19">
        <f>$E$12*I21</f>
        <v>2.7788732876712334</v>
      </c>
      <c r="J27" s="19">
        <f>$E$12*J21</f>
        <v>3.1177602739726034</v>
      </c>
      <c r="K27" s="19">
        <f>$E$12*K21</f>
        <v>3.4566472602739737</v>
      </c>
      <c r="L27" s="19">
        <f>$E$12*L21</f>
        <v>3.7955342465753432</v>
      </c>
      <c r="M27" s="19">
        <f>$E$12*M21</f>
        <v>4.1344212328767131</v>
      </c>
      <c r="N27" s="19">
        <f>$E$12*N21</f>
        <v>4.4733082191780831</v>
      </c>
      <c r="O27" s="19">
        <f>$E$12*O21</f>
        <v>4.812195205479453</v>
      </c>
      <c r="P27" s="19">
        <f>$E$12*P21</f>
        <v>5.1510821917808238</v>
      </c>
      <c r="Q27" s="19">
        <f>$E$12*Q21</f>
        <v>5.4899691780821929</v>
      </c>
      <c r="R27" s="19">
        <f>$E$12*R21</f>
        <v>5.8288561643835628</v>
      </c>
      <c r="S27" s="19">
        <f>$E$12*S21</f>
        <v>6.1677431506849336</v>
      </c>
      <c r="T27" s="19">
        <f>$E$12*T21</f>
        <v>6.5066301369863027</v>
      </c>
      <c r="U27" s="19">
        <f>$E$12*U21</f>
        <v>6.7777397260273986</v>
      </c>
      <c r="V27" s="19">
        <f>$E$12*V21</f>
        <v>7.0488493150684945</v>
      </c>
      <c r="W27" s="19">
        <f>$E$12*W21</f>
        <v>7.3199589041095905</v>
      </c>
      <c r="X27" s="19">
        <f>$E$12*X21</f>
        <v>7.5910684931506864</v>
      </c>
      <c r="Y27" s="19">
        <f>$E$12*Y21</f>
        <v>7.8621780821917824</v>
      </c>
      <c r="Z27" s="19">
        <f>$E$12*Z21</f>
        <v>8.1332876712328783</v>
      </c>
    </row>
    <row r="28" spans="1:26">
      <c r="A28" s="44" t="s">
        <v>499</v>
      </c>
      <c r="B28" s="19">
        <f>$E$13*B21</f>
        <v>0</v>
      </c>
      <c r="C28" s="19">
        <f>$E$13*C21</f>
        <v>1.0844383561643836</v>
      </c>
      <c r="D28" s="19">
        <f>$E$13*D21</f>
        <v>2.1688767123287671</v>
      </c>
      <c r="E28" s="19">
        <f>$E$13*E21</f>
        <v>3.2533150684931509</v>
      </c>
      <c r="F28" s="19">
        <f>$E$13*F21</f>
        <v>4.3377534246575342</v>
      </c>
      <c r="G28" s="19">
        <f>$E$13*G21</f>
        <v>5.422191780821918</v>
      </c>
      <c r="H28" s="19">
        <f>$E$13*H21</f>
        <v>6.5066301369863018</v>
      </c>
      <c r="I28" s="19">
        <f>$E$13*I21</f>
        <v>7.4103287671232883</v>
      </c>
      <c r="J28" s="19">
        <f>$E$13*J21</f>
        <v>8.3140273972602756</v>
      </c>
      <c r="K28" s="19">
        <f>$E$13*K21</f>
        <v>9.2177260273972621</v>
      </c>
      <c r="L28" s="19">
        <f>$E$13*L21</f>
        <v>10.121424657534247</v>
      </c>
      <c r="M28" s="19">
        <f>$E$13*M21</f>
        <v>11.025123287671233</v>
      </c>
      <c r="N28" s="19">
        <f>$E$13*N21</f>
        <v>11.92882191780822</v>
      </c>
      <c r="O28" s="19">
        <f>$E$13*O21</f>
        <v>12.832520547945206</v>
      </c>
      <c r="P28" s="19">
        <f>$E$13*P21</f>
        <v>13.736219178082195</v>
      </c>
      <c r="Q28" s="19">
        <f>$E$13*Q21</f>
        <v>14.639917808219179</v>
      </c>
      <c r="R28" s="19">
        <f>$E$13*R21</f>
        <v>15.543616438356166</v>
      </c>
      <c r="S28" s="19">
        <f>$E$13*S21</f>
        <v>16.447315068493154</v>
      </c>
      <c r="T28" s="19">
        <f>$E$13*T21</f>
        <v>17.351013698630137</v>
      </c>
      <c r="U28" s="19">
        <f>$E$13*U21</f>
        <v>18.073972602739726</v>
      </c>
      <c r="V28" s="19">
        <f>$E$13*V21</f>
        <v>18.796931506849315</v>
      </c>
      <c r="W28" s="19">
        <f>$E$13*W21</f>
        <v>19.519890410958904</v>
      </c>
      <c r="X28" s="19">
        <f>$E$13*X21</f>
        <v>20.242849315068494</v>
      </c>
      <c r="Y28" s="19">
        <f>$E$13*Y21</f>
        <v>20.965808219178083</v>
      </c>
      <c r="Z28" s="19">
        <f>$E$13*Z21</f>
        <v>21.688767123287672</v>
      </c>
    </row>
    <row r="29" spans="1:26">
      <c r="A29" s="44"/>
    </row>
    <row r="30" spans="1:26">
      <c r="A30" s="53" t="s">
        <v>500</v>
      </c>
      <c r="B30" s="108">
        <f>B26+B27+B28</f>
        <v>0</v>
      </c>
      <c r="C30" s="108">
        <f>C26+C27+C28</f>
        <v>1.5588801369863015</v>
      </c>
      <c r="D30" s="108">
        <f>D26+D27+D28</f>
        <v>3.1177602739726029</v>
      </c>
      <c r="E30" s="108">
        <f>E26+E27+E28</f>
        <v>4.676640410958905</v>
      </c>
      <c r="F30" s="108">
        <f>F26+F27+F28</f>
        <v>6.2355205479452058</v>
      </c>
      <c r="G30" s="108">
        <f>G26+G27+G28</f>
        <v>7.7944006849315075</v>
      </c>
      <c r="H30" s="108">
        <f>H26+H27+H28</f>
        <v>9.3532808219178101</v>
      </c>
      <c r="I30" s="108">
        <f>I26+I27+I28</f>
        <v>10.652347602739727</v>
      </c>
      <c r="J30" s="108">
        <f>J26+J27+J28</f>
        <v>11.951414383561646</v>
      </c>
      <c r="K30" s="108">
        <f>K26+K27+K28</f>
        <v>13.250481164383565</v>
      </c>
      <c r="L30" s="108">
        <f>L26+L27+L28</f>
        <v>14.549547945205481</v>
      </c>
      <c r="M30" s="108">
        <f>M26+M27+M28</f>
        <v>15.8486147260274</v>
      </c>
      <c r="N30" s="108">
        <f>N26+N27+N28</f>
        <v>17.147681506849317</v>
      </c>
      <c r="O30" s="108">
        <f>O26+O27+O28</f>
        <v>18.446748287671234</v>
      </c>
      <c r="P30" s="108">
        <f>P26+P27+P28</f>
        <v>19.745815068493155</v>
      </c>
      <c r="Q30" s="108">
        <f>Q26+Q27+Q28</f>
        <v>21.044881849315072</v>
      </c>
      <c r="R30" s="108">
        <f>R26+R27+R28</f>
        <v>22.343948630136989</v>
      </c>
      <c r="S30" s="108">
        <f>S26+S27+S28</f>
        <v>23.64301541095891</v>
      </c>
      <c r="T30" s="108">
        <f>T26+T27+T28</f>
        <v>24.942082191780823</v>
      </c>
      <c r="U30" s="108">
        <f>U26+U27+U28</f>
        <v>25.981335616438358</v>
      </c>
      <c r="V30" s="108">
        <f>V26+V27+V28</f>
        <v>27.020589041095892</v>
      </c>
      <c r="W30" s="108">
        <f>W26+W27+W28</f>
        <v>28.059842465753427</v>
      </c>
      <c r="X30" s="108">
        <f>X26+X27+X28</f>
        <v>29.099095890410961</v>
      </c>
      <c r="Y30" s="108">
        <f>Y26+Y27+Y28</f>
        <v>30.138349315068496</v>
      </c>
      <c r="Z30" s="108">
        <f>Z26+Z27+Z28</f>
        <v>31.17760273972603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BFBF"/>
  </sheetPr>
  <dimension ref="A1:D29"/>
  <sheetViews>
    <sheetView workbookViewId="0">
      <pane ySplit="4" topLeftCell="A5" activePane="bottomLeft" state="frozen"/>
      <selection pane="bottomLeft" activeCell="F36" sqref="F36"/>
    </sheetView>
  </sheetViews>
  <sheetFormatPr baseColWidth="10" defaultColWidth="8.83203125" defaultRowHeight="15"/>
  <cols>
    <col min="1" max="1" width="32" customWidth="1"/>
    <col min="2" max="3" width="18" customWidth="1"/>
    <col min="4" max="4" width="60" customWidth="1"/>
  </cols>
  <sheetData>
    <row r="1" spans="1:4" ht="23">
      <c r="A1" s="1" t="s">
        <v>196</v>
      </c>
    </row>
    <row r="4" spans="1:4">
      <c r="A4" s="5" t="s">
        <v>26</v>
      </c>
      <c r="B4" s="5" t="s">
        <v>197</v>
      </c>
      <c r="C4" s="5" t="s">
        <v>198</v>
      </c>
      <c r="D4" s="5" t="s">
        <v>199</v>
      </c>
    </row>
    <row r="5" spans="1:4" ht="28">
      <c r="A5" s="14" t="s">
        <v>10</v>
      </c>
      <c r="B5" s="4" t="s">
        <v>200</v>
      </c>
      <c r="C5" s="4" t="s">
        <v>201</v>
      </c>
      <c r="D5" s="4" t="s">
        <v>202</v>
      </c>
    </row>
    <row r="6" spans="1:4" ht="42">
      <c r="A6" s="14" t="s">
        <v>69</v>
      </c>
      <c r="B6" s="4" t="s">
        <v>567</v>
      </c>
      <c r="C6" s="4" t="s">
        <v>203</v>
      </c>
      <c r="D6" s="4" t="s">
        <v>568</v>
      </c>
    </row>
    <row r="7" spans="1:4" ht="28">
      <c r="A7" s="14" t="s">
        <v>72</v>
      </c>
      <c r="B7" s="4" t="s">
        <v>569</v>
      </c>
      <c r="C7" s="4" t="s">
        <v>204</v>
      </c>
      <c r="D7" s="4" t="s">
        <v>570</v>
      </c>
    </row>
    <row r="8" spans="1:4" ht="28">
      <c r="A8" s="14" t="s">
        <v>74</v>
      </c>
      <c r="B8" s="4" t="s">
        <v>205</v>
      </c>
      <c r="C8" s="4" t="s">
        <v>206</v>
      </c>
      <c r="D8" s="4" t="s">
        <v>207</v>
      </c>
    </row>
    <row r="9" spans="1:4" ht="16">
      <c r="A9" s="14" t="s">
        <v>289</v>
      </c>
      <c r="B9" s="62">
        <v>0.02</v>
      </c>
      <c r="C9" s="4" t="s">
        <v>208</v>
      </c>
      <c r="D9" s="4" t="s">
        <v>290</v>
      </c>
    </row>
    <row r="10" spans="1:4" ht="16">
      <c r="A10" s="14" t="s">
        <v>291</v>
      </c>
      <c r="B10" s="62">
        <v>0.04</v>
      </c>
      <c r="C10" s="4" t="s">
        <v>209</v>
      </c>
      <c r="D10" s="4" t="s">
        <v>292</v>
      </c>
    </row>
    <row r="11" spans="1:4" ht="16">
      <c r="A11" s="14" t="s">
        <v>293</v>
      </c>
      <c r="B11" s="62">
        <v>0.1</v>
      </c>
      <c r="C11" s="4" t="s">
        <v>294</v>
      </c>
      <c r="D11" s="4" t="s">
        <v>295</v>
      </c>
    </row>
    <row r="12" spans="1:4" ht="42">
      <c r="A12" s="14" t="s">
        <v>296</v>
      </c>
      <c r="B12" s="61">
        <v>0.35</v>
      </c>
      <c r="C12" s="4" t="s">
        <v>571</v>
      </c>
      <c r="D12" s="4" t="s">
        <v>572</v>
      </c>
    </row>
    <row r="13" spans="1:4" ht="28">
      <c r="A13" s="14" t="s">
        <v>297</v>
      </c>
      <c r="B13" s="61">
        <v>0.45</v>
      </c>
      <c r="C13" s="4" t="s">
        <v>298</v>
      </c>
      <c r="D13" s="4" t="s">
        <v>299</v>
      </c>
    </row>
    <row r="14" spans="1:4" ht="16">
      <c r="A14" s="14" t="s">
        <v>300</v>
      </c>
      <c r="B14" s="61">
        <v>0.65</v>
      </c>
      <c r="C14" s="4" t="s">
        <v>301</v>
      </c>
      <c r="D14" s="4" t="s">
        <v>302</v>
      </c>
    </row>
    <row r="15" spans="1:4" ht="28">
      <c r="A15" s="14" t="s">
        <v>303</v>
      </c>
      <c r="B15" s="61">
        <v>1</v>
      </c>
      <c r="C15" s="4" t="s">
        <v>304</v>
      </c>
      <c r="D15" s="4" t="s">
        <v>305</v>
      </c>
    </row>
    <row r="16" spans="1:4" ht="16">
      <c r="A16" s="14" t="s">
        <v>210</v>
      </c>
      <c r="B16" s="4" t="s">
        <v>211</v>
      </c>
      <c r="C16" s="4" t="s">
        <v>208</v>
      </c>
      <c r="D16" s="4" t="s">
        <v>212</v>
      </c>
    </row>
    <row r="17" spans="1:4" ht="28">
      <c r="A17" s="14" t="s">
        <v>213</v>
      </c>
      <c r="B17" s="4" t="s">
        <v>573</v>
      </c>
      <c r="C17" s="4" t="s">
        <v>214</v>
      </c>
      <c r="D17" s="4" t="s">
        <v>574</v>
      </c>
    </row>
    <row r="18" spans="1:4" ht="16">
      <c r="A18" s="14" t="s">
        <v>77</v>
      </c>
      <c r="B18" s="4" t="s">
        <v>215</v>
      </c>
      <c r="C18" s="4" t="s">
        <v>216</v>
      </c>
      <c r="D18" s="4" t="s">
        <v>217</v>
      </c>
    </row>
    <row r="19" spans="1:4" ht="16">
      <c r="A19" s="14" t="s">
        <v>218</v>
      </c>
      <c r="B19" s="4" t="s">
        <v>219</v>
      </c>
      <c r="C19" s="4" t="s">
        <v>220</v>
      </c>
      <c r="D19" s="4" t="s">
        <v>221</v>
      </c>
    </row>
    <row r="21" spans="1:4" ht="17">
      <c r="A21" s="15" t="s">
        <v>222</v>
      </c>
    </row>
    <row r="23" spans="1:4" ht="28" customHeight="1">
      <c r="A23" s="144" t="s">
        <v>223</v>
      </c>
      <c r="B23" s="145"/>
      <c r="C23" s="145"/>
      <c r="D23" s="145"/>
    </row>
    <row r="24" spans="1:4" ht="28" customHeight="1">
      <c r="A24" s="144" t="s">
        <v>224</v>
      </c>
      <c r="B24" s="145"/>
      <c r="C24" s="145"/>
      <c r="D24" s="145"/>
    </row>
    <row r="25" spans="1:4" ht="28" customHeight="1">
      <c r="A25" s="144" t="s">
        <v>225</v>
      </c>
      <c r="B25" s="145"/>
      <c r="C25" s="145"/>
      <c r="D25" s="145"/>
    </row>
    <row r="26" spans="1:4" ht="28" customHeight="1">
      <c r="A26" s="144" t="s">
        <v>546</v>
      </c>
      <c r="B26" s="145"/>
      <c r="C26" s="145"/>
      <c r="D26" s="145"/>
    </row>
    <row r="27" spans="1:4" ht="28" customHeight="1">
      <c r="A27" s="144" t="s">
        <v>226</v>
      </c>
      <c r="B27" s="145"/>
      <c r="C27" s="145"/>
      <c r="D27" s="145"/>
    </row>
    <row r="28" spans="1:4" ht="28" customHeight="1">
      <c r="A28" s="144" t="s">
        <v>227</v>
      </c>
      <c r="B28" s="145"/>
      <c r="C28" s="145"/>
      <c r="D28" s="145"/>
    </row>
    <row r="29" spans="1:4">
      <c r="A29" t="s">
        <v>575</v>
      </c>
    </row>
  </sheetData>
  <mergeCells count="6">
    <mergeCell ref="A26:D26"/>
    <mergeCell ref="A25:D25"/>
    <mergeCell ref="A23:D23"/>
    <mergeCell ref="A24:D24"/>
    <mergeCell ref="A28:D28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33</vt:i4>
      </vt:variant>
    </vt:vector>
  </HeadingPairs>
  <TitlesOfParts>
    <vt:vector size="51" baseType="lpstr">
      <vt:lpstr>Guide</vt:lpstr>
      <vt:lpstr>Dashboard</vt:lpstr>
      <vt:lpstr>Inputs</vt:lpstr>
      <vt:lpstr>Volume &amp; Mix</vt:lpstr>
      <vt:lpstr>Disbursement Plan</vt:lpstr>
      <vt:lpstr>Risk</vt:lpstr>
      <vt:lpstr>Track A · Pay-30</vt:lpstr>
      <vt:lpstr>Track B · BNPL</vt:lpstr>
      <vt:lpstr>Track C · Extension</vt:lpstr>
      <vt:lpstr>Combined P&amp;L</vt:lpstr>
      <vt:lpstr>Unit Economics</vt:lpstr>
      <vt:lpstr>Sensitivity</vt:lpstr>
      <vt:lpstr>Capital Plan</vt:lpstr>
      <vt:lpstr>Funding Stack</vt:lpstr>
      <vt:lpstr>Scenarios</vt:lpstr>
      <vt:lpstr>Break-even</vt:lpstr>
      <vt:lpstr>Vintage Cohorts</vt:lpstr>
      <vt:lpstr>Validation &amp; Sources</vt:lpstr>
      <vt:lpstr>advance_rate</vt:lpstr>
      <vt:lpstr>avg_ticket_k</vt:lpstr>
      <vt:lpstr>cof_apr</vt:lpstr>
      <vt:lpstr>disb_y1</vt:lpstr>
      <vt:lpstr>disb_y2</vt:lpstr>
      <vt:lpstr>disb_y3</vt:lpstr>
      <vt:lpstr>disb_y4</vt:lpstr>
      <vt:lpstr>disb_y5</vt:lpstr>
      <vt:lpstr>ead_bnpl</vt:lpstr>
      <vt:lpstr>ead_ext</vt:lpstr>
      <vt:lpstr>ead_pay30</vt:lpstr>
      <vt:lpstr>equity_pct</vt:lpstr>
      <vt:lpstr>fee_bnpl_mo</vt:lpstr>
      <vt:lpstr>fee_ext_apr</vt:lpstr>
      <vt:lpstr>fee_pay30_mo</vt:lpstr>
      <vt:lpstr>lgd_bnpl</vt:lpstr>
      <vt:lpstr>lgd_ext</vt:lpstr>
      <vt:lpstr>lgd_pay30</vt:lpstr>
      <vt:lpstr>mix_bnpl</vt:lpstr>
      <vt:lpstr>mix_ext</vt:lpstr>
      <vt:lpstr>mix_pay30</vt:lpstr>
      <vt:lpstr>opex_pct</vt:lpstr>
      <vt:lpstr>opex_y1_mult</vt:lpstr>
      <vt:lpstr>opex_y2_mult</vt:lpstr>
      <vt:lpstr>opex_y3_mult</vt:lpstr>
      <vt:lpstr>opex_y4_mult</vt:lpstr>
      <vt:lpstr>opex_y5_mult</vt:lpstr>
      <vt:lpstr>pd_bnpl</vt:lpstr>
      <vt:lpstr>pd_ext</vt:lpstr>
      <vt:lpstr>pd_pay30</vt:lpstr>
      <vt:lpstr>tenor_bnpl</vt:lpstr>
      <vt:lpstr>tenor_ext</vt:lpstr>
      <vt:lpstr>tenor_pay30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Dewashish Dey</cp:lastModifiedBy>
  <dcterms:created xsi:type="dcterms:W3CDTF">2026-05-10T10:47:08Z</dcterms:created>
  <dcterms:modified xsi:type="dcterms:W3CDTF">2026-05-10T15:48:50Z</dcterms:modified>
</cp:coreProperties>
</file>